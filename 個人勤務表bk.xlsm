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zz_endo-work\ソフトウェア\git\リポジトリ\roster\AA_個人勤務表\bin\"/>
    </mc:Choice>
  </mc:AlternateContent>
  <bookViews>
    <workbookView xWindow="0" yWindow="0" windowWidth="20490" windowHeight="7530" tabRatio="764"/>
  </bookViews>
  <sheets>
    <sheet name="data" sheetId="15" r:id="rId1"/>
    <sheet name="base" sheetId="18" r:id="rId2"/>
    <sheet name="main" sheetId="14" r:id="rId3"/>
  </sheets>
  <functionGroups builtInGroupCount="18"/>
  <definedNames>
    <definedName name="_xlnm._FilterDatabase" localSheetId="0">data!$A$19:$K$19</definedName>
    <definedName name="_xlnm.Print_Titles" localSheetId="1">base!$1:$5</definedName>
    <definedName name="SAC勤務時間" localSheetId="1">base!$E$5</definedName>
    <definedName name="チーム名" localSheetId="2">main!$G$32</definedName>
    <definedName name="チェック実施者" localSheetId="2">main!$G$34</definedName>
    <definedName name="チェック実施日" localSheetId="2">main!$G$35</definedName>
    <definedName name="ファイル出力リスト" localSheetId="1">base!$A$6:$I$67</definedName>
    <definedName name="プロジェクト名" localSheetId="2">main!$G$31</definedName>
    <definedName name="案件" localSheetId="1">base!$H$4</definedName>
    <definedName name="案件リスト">data!$V$3:$V$14</definedName>
    <definedName name="開始" localSheetId="1">base!$C$4</definedName>
    <definedName name="開始・終了時間リスト" localSheetId="1">base!$C$6:$D$67</definedName>
    <definedName name="基点" localSheetId="1">base!$A$6</definedName>
    <definedName name="記入者" localSheetId="2">main!$G$11</definedName>
    <definedName name="休憩時間リスト">data!$M$3:$M$8</definedName>
    <definedName name="業務機能名" localSheetId="2">main!$G$33</definedName>
    <definedName name="勤務時間" localSheetId="2">main!$G$12</definedName>
    <definedName name="勤務地" localSheetId="2">main!$G$9</definedName>
    <definedName name="経由" localSheetId="2">main!$C$23</definedName>
    <definedName name="月" localSheetId="1">base!$B$2</definedName>
    <definedName name="月" localSheetId="2">main!$B$2</definedName>
    <definedName name="現場勤務時間" localSheetId="1">base!$F$5</definedName>
    <definedName name="工数" localSheetId="1">base!$J$4</definedName>
    <definedName name="工数リスト" localSheetId="1">base!$J$6:$J$67</definedName>
    <definedName name="作業場所" localSheetId="1">base!$G$4</definedName>
    <definedName name="作業場所リスト">data!$S$3:$S$9</definedName>
    <definedName name="作業内容" localSheetId="1">base!$I$4</definedName>
    <definedName name="社員コード" localSheetId="2">main!$G$10</definedName>
    <definedName name="終了" localSheetId="1">base!$D$4</definedName>
    <definedName name="祝日リスト">data!$B$3:$K$34</definedName>
    <definedName name="出発" localSheetId="2">main!$C$21</definedName>
    <definedName name="対象ファイル" localSheetId="2">main!$G$14</definedName>
    <definedName name="対象フォルダ" localSheetId="2">main!$G$30</definedName>
    <definedName name="到着" localSheetId="2">main!$C$22</definedName>
    <definedName name="日" localSheetId="1">base!$A$4</definedName>
    <definedName name="日数" localSheetId="1">base!$E$69</definedName>
    <definedName name="年" localSheetId="1">base!$B$1</definedName>
    <definedName name="年" localSheetId="2">main!$B$1</definedName>
    <definedName name="年月" localSheetId="1">base!$B$1:$C$2</definedName>
    <definedName name="年月" localSheetId="2">main!$G$13</definedName>
    <definedName name="備考" localSheetId="1">base!$K$4</definedName>
  </definedNames>
  <calcPr calcId="162913"/>
</workbook>
</file>

<file path=xl/calcChain.xml><?xml version="1.0" encoding="utf-8"?>
<calcChain xmlns="http://schemas.openxmlformats.org/spreadsheetml/2006/main">
  <c r="B2" i="15" l="1"/>
  <c r="A6" i="18" l="1"/>
  <c r="B6" i="18" s="1"/>
  <c r="F68" i="18" l="1"/>
  <c r="B28" i="15"/>
  <c r="B29" i="15" s="1"/>
  <c r="B23" i="15"/>
  <c r="B21" i="15" l="1"/>
  <c r="B22" i="15" s="1"/>
  <c r="B19" i="15"/>
  <c r="B17" i="15"/>
  <c r="B20" i="15" l="1"/>
  <c r="B15" i="15"/>
  <c r="B14" i="15"/>
  <c r="B13" i="15"/>
  <c r="B11" i="15"/>
  <c r="B7" i="15"/>
  <c r="B6" i="15"/>
  <c r="B5" i="15" l="1"/>
  <c r="B4" i="15"/>
  <c r="B3" i="15"/>
  <c r="B9" i="15"/>
  <c r="B24" i="15"/>
  <c r="B25" i="15" s="1"/>
  <c r="B26" i="15"/>
  <c r="B27" i="15" s="1"/>
  <c r="C1" i="15"/>
  <c r="C2" i="15" s="1"/>
  <c r="D1" i="15" l="1"/>
  <c r="D2" i="15" s="1"/>
  <c r="E1" i="15" l="1"/>
  <c r="E2" i="15" s="1"/>
  <c r="F1" i="15" l="1"/>
  <c r="F2" i="15" s="1"/>
  <c r="D28" i="15"/>
  <c r="D29" i="15" s="1"/>
  <c r="D9" i="15"/>
  <c r="D10" i="15" s="1"/>
  <c r="D7" i="15"/>
  <c r="D8" i="15" s="1"/>
  <c r="D21" i="15"/>
  <c r="D22" i="15" s="1"/>
  <c r="D13" i="15"/>
  <c r="D18" i="15"/>
  <c r="D5" i="15"/>
  <c r="D26" i="15"/>
  <c r="D27" i="15" s="1"/>
  <c r="D3" i="15"/>
  <c r="D14" i="15"/>
  <c r="D4" i="15"/>
  <c r="D24" i="15"/>
  <c r="D25" i="15" s="1"/>
  <c r="D15" i="15"/>
  <c r="D11" i="15"/>
  <c r="D12" i="15" s="1"/>
  <c r="J68" i="18"/>
  <c r="E68" i="18"/>
  <c r="A8" i="18"/>
  <c r="D17" i="15"/>
  <c r="F6" i="15"/>
  <c r="D19" i="15"/>
  <c r="E6" i="15"/>
  <c r="D6" i="15"/>
  <c r="D23" i="15"/>
  <c r="G1" i="15" l="1"/>
  <c r="G2" i="15" s="1"/>
  <c r="D20" i="15"/>
  <c r="D16" i="15"/>
  <c r="E28" i="15"/>
  <c r="E29" i="15" s="1"/>
  <c r="E11" i="15"/>
  <c r="E12" i="15" s="1"/>
  <c r="E24" i="15"/>
  <c r="E25" i="15" s="1"/>
  <c r="E15" i="15"/>
  <c r="E9" i="15"/>
  <c r="E10" i="15" s="1"/>
  <c r="E26" i="15"/>
  <c r="E27" i="15" s="1"/>
  <c r="E4" i="15"/>
  <c r="E13" i="15"/>
  <c r="E21" i="15"/>
  <c r="E22" i="15" s="1"/>
  <c r="E3" i="15"/>
  <c r="E5" i="15"/>
  <c r="E18" i="15"/>
  <c r="E14" i="15"/>
  <c r="E7" i="15"/>
  <c r="E8" i="15" s="1"/>
  <c r="A10" i="18"/>
  <c r="B8" i="18"/>
  <c r="E23" i="15"/>
  <c r="E19" i="15"/>
  <c r="E17" i="15"/>
  <c r="D35" i="15" l="1"/>
  <c r="H1" i="15"/>
  <c r="H2" i="15" s="1"/>
  <c r="E20" i="15"/>
  <c r="E16" i="15"/>
  <c r="F5" i="15"/>
  <c r="F15" i="15"/>
  <c r="F9" i="15"/>
  <c r="F10" i="15" s="1"/>
  <c r="F24" i="15"/>
  <c r="F25" i="15" s="1"/>
  <c r="F26" i="15"/>
  <c r="F27" i="15" s="1"/>
  <c r="F3" i="15"/>
  <c r="F7" i="15"/>
  <c r="F8" i="15" s="1"/>
  <c r="F14" i="15"/>
  <c r="F21" i="15"/>
  <c r="F22" i="15" s="1"/>
  <c r="F18" i="15"/>
  <c r="F13" i="15"/>
  <c r="F4" i="15"/>
  <c r="F11" i="15"/>
  <c r="F12" i="15" s="1"/>
  <c r="F28" i="15"/>
  <c r="F29" i="15" s="1"/>
  <c r="A12" i="18"/>
  <c r="B10" i="18"/>
  <c r="F23" i="15"/>
  <c r="H23" i="15"/>
  <c r="H17" i="15"/>
  <c r="F19" i="15"/>
  <c r="H19" i="15"/>
  <c r="F17" i="15"/>
  <c r="H6" i="15"/>
  <c r="E35" i="15" l="1"/>
  <c r="H13" i="15"/>
  <c r="H26" i="15"/>
  <c r="H27" i="15" s="1"/>
  <c r="H28" i="15"/>
  <c r="H29" i="15" s="1"/>
  <c r="H21" i="15"/>
  <c r="H22" i="15" s="1"/>
  <c r="H7" i="15"/>
  <c r="H8" i="15" s="1"/>
  <c r="H14" i="15"/>
  <c r="H24" i="15"/>
  <c r="H25" i="15" s="1"/>
  <c r="I1" i="15"/>
  <c r="I2" i="15" s="1"/>
  <c r="H15" i="15"/>
  <c r="H9" i="15"/>
  <c r="H10" i="15" s="1"/>
  <c r="H3" i="15"/>
  <c r="H5" i="15"/>
  <c r="H18" i="15"/>
  <c r="H4" i="15"/>
  <c r="H11" i="15"/>
  <c r="H12" i="15" s="1"/>
  <c r="F16" i="15"/>
  <c r="F20" i="15"/>
  <c r="G3" i="15"/>
  <c r="G28" i="15"/>
  <c r="G29" i="15" s="1"/>
  <c r="G18" i="15"/>
  <c r="G13" i="15"/>
  <c r="G24" i="15"/>
  <c r="G25" i="15" s="1"/>
  <c r="G26" i="15"/>
  <c r="G27" i="15" s="1"/>
  <c r="G5" i="15"/>
  <c r="G14" i="15"/>
  <c r="G15" i="15"/>
  <c r="G11" i="15"/>
  <c r="G12" i="15" s="1"/>
  <c r="G21" i="15"/>
  <c r="G22" i="15" s="1"/>
  <c r="G4" i="15"/>
  <c r="G7" i="15"/>
  <c r="G8" i="15" s="1"/>
  <c r="G9" i="15"/>
  <c r="G10" i="15" s="1"/>
  <c r="A14" i="18"/>
  <c r="B12" i="18"/>
  <c r="C21" i="15"/>
  <c r="C9" i="15"/>
  <c r="C28" i="15"/>
  <c r="C26" i="15"/>
  <c r="C24" i="15"/>
  <c r="C15" i="15"/>
  <c r="C14" i="15"/>
  <c r="C13" i="15"/>
  <c r="C11" i="15"/>
  <c r="C7" i="15"/>
  <c r="C5" i="15"/>
  <c r="C4" i="15"/>
  <c r="C3" i="15"/>
  <c r="G17" i="15"/>
  <c r="G19" i="15"/>
  <c r="G23" i="15"/>
  <c r="G6" i="15"/>
  <c r="F35" i="15" l="1"/>
  <c r="H16" i="15"/>
  <c r="I13" i="15"/>
  <c r="I28" i="15"/>
  <c r="I29" i="15" s="1"/>
  <c r="I9" i="15"/>
  <c r="I10" i="15" s="1"/>
  <c r="I15" i="15"/>
  <c r="J1" i="15"/>
  <c r="J2" i="15" s="1"/>
  <c r="I5" i="15"/>
  <c r="I14" i="15"/>
  <c r="I7" i="15"/>
  <c r="I8" i="15" s="1"/>
  <c r="I26" i="15"/>
  <c r="I27" i="15" s="1"/>
  <c r="I24" i="15"/>
  <c r="I25" i="15" s="1"/>
  <c r="I11" i="15"/>
  <c r="I12" i="15" s="1"/>
  <c r="I21" i="15"/>
  <c r="I22" i="15" s="1"/>
  <c r="I18" i="15"/>
  <c r="I4" i="15"/>
  <c r="I3" i="15"/>
  <c r="H20" i="15"/>
  <c r="H35" i="15" s="1"/>
  <c r="G20" i="15"/>
  <c r="G16" i="15"/>
  <c r="A16" i="18"/>
  <c r="B14" i="18"/>
  <c r="J23" i="15"/>
  <c r="I6" i="15"/>
  <c r="I19" i="15"/>
  <c r="C6" i="15"/>
  <c r="C17" i="15"/>
  <c r="I23" i="15"/>
  <c r="C19" i="15"/>
  <c r="C23" i="15"/>
  <c r="I17" i="15"/>
  <c r="G35" i="15" l="1"/>
  <c r="I16" i="15"/>
  <c r="J24" i="15"/>
  <c r="J25" i="15" s="1"/>
  <c r="J18" i="15"/>
  <c r="J7" i="15"/>
  <c r="J8" i="15" s="1"/>
  <c r="J14" i="15"/>
  <c r="J13" i="15"/>
  <c r="K1" i="15"/>
  <c r="K2" i="15" s="1"/>
  <c r="J28" i="15"/>
  <c r="J29" i="15" s="1"/>
  <c r="J11" i="15"/>
  <c r="J12" i="15" s="1"/>
  <c r="J5" i="15"/>
  <c r="J21" i="15"/>
  <c r="J22" i="15" s="1"/>
  <c r="J4" i="15"/>
  <c r="J3" i="15"/>
  <c r="J26" i="15"/>
  <c r="J27" i="15" s="1"/>
  <c r="J15" i="15"/>
  <c r="J9" i="15"/>
  <c r="J10" i="15" s="1"/>
  <c r="I20" i="15"/>
  <c r="I35" i="15" s="1"/>
  <c r="A18" i="18"/>
  <c r="B16" i="18"/>
  <c r="C18" i="15"/>
  <c r="B18" i="15"/>
  <c r="C20" i="15"/>
  <c r="K23" i="15"/>
  <c r="J19" i="15"/>
  <c r="K6" i="15"/>
  <c r="J17" i="15"/>
  <c r="J6" i="15"/>
  <c r="K19" i="15"/>
  <c r="K15" i="15" l="1"/>
  <c r="K26" i="15"/>
  <c r="K27" i="15" s="1"/>
  <c r="K11" i="15"/>
  <c r="K12" i="15" s="1"/>
  <c r="K4" i="15"/>
  <c r="K21" i="15"/>
  <c r="K22" i="15" s="1"/>
  <c r="K28" i="15"/>
  <c r="K29" i="15" s="1"/>
  <c r="K9" i="15"/>
  <c r="K10" i="15" s="1"/>
  <c r="K5" i="15"/>
  <c r="K7" i="15"/>
  <c r="K8" i="15" s="1"/>
  <c r="K13" i="15"/>
  <c r="K24" i="15"/>
  <c r="K25" i="15" s="1"/>
  <c r="K18" i="15"/>
  <c r="K14" i="15"/>
  <c r="K3" i="15"/>
  <c r="J16" i="15"/>
  <c r="J20" i="15"/>
  <c r="J35" i="15" s="1"/>
  <c r="A20" i="18"/>
  <c r="B18" i="18"/>
  <c r="K17" i="15"/>
  <c r="K16" i="15" l="1"/>
  <c r="K20" i="15"/>
  <c r="A22" i="18"/>
  <c r="B20" i="18"/>
  <c r="K35" i="15" l="1"/>
  <c r="A24" i="18"/>
  <c r="B22" i="18"/>
  <c r="A26" i="18" l="1"/>
  <c r="B24" i="18"/>
  <c r="A28" i="18" l="1"/>
  <c r="B26" i="18"/>
  <c r="C16" i="15"/>
  <c r="B16" i="15"/>
  <c r="C29" i="15"/>
  <c r="C27" i="15"/>
  <c r="C25" i="15"/>
  <c r="C22" i="15"/>
  <c r="C12" i="15"/>
  <c r="B12" i="15"/>
  <c r="C10" i="15"/>
  <c r="B10" i="15"/>
  <c r="C8" i="15"/>
  <c r="B8" i="15"/>
  <c r="B35" i="15" l="1"/>
  <c r="C35" i="15"/>
  <c r="A30" i="18"/>
  <c r="B28" i="18"/>
  <c r="A32" i="18" l="1"/>
  <c r="B30" i="18"/>
  <c r="A34" i="18" l="1"/>
  <c r="B32" i="18"/>
  <c r="A36" i="18" l="1"/>
  <c r="B34" i="18"/>
  <c r="A38" i="18" l="1"/>
  <c r="B36" i="18"/>
  <c r="A40" i="18" l="1"/>
  <c r="B38" i="18"/>
  <c r="A42" i="18" l="1"/>
  <c r="B40" i="18"/>
  <c r="A44" i="18" l="1"/>
  <c r="B42" i="18"/>
  <c r="A46" i="18" l="1"/>
  <c r="B44" i="18"/>
  <c r="A48" i="18" l="1"/>
  <c r="B46" i="18"/>
  <c r="A50" i="18" l="1"/>
  <c r="B48" i="18"/>
  <c r="A52" i="18" l="1"/>
  <c r="B50" i="18"/>
  <c r="A54" i="18" l="1"/>
  <c r="B52" i="18"/>
  <c r="A56" i="18" l="1"/>
  <c r="B54" i="18"/>
  <c r="A58" i="18" l="1"/>
  <c r="B56" i="18"/>
  <c r="A60" i="18" l="1"/>
  <c r="B58" i="18"/>
  <c r="A62" i="18" l="1"/>
  <c r="B60" i="18"/>
  <c r="A64" i="18" l="1"/>
  <c r="B62" i="18"/>
  <c r="A66" i="18" l="1"/>
  <c r="B66" i="18" s="1"/>
  <c r="B64" i="18"/>
</calcChain>
</file>

<file path=xl/comments1.xml><?xml version="1.0" encoding="utf-8"?>
<comments xmlns="http://schemas.openxmlformats.org/spreadsheetml/2006/main">
  <authors>
    <author>遠藤智貴</author>
    <author>tomoki.endo</author>
  </authors>
  <commentList>
    <comment ref="A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年を追加する場合、コピペでOK
※セルに名前を付けているので追加する場合は要注意</t>
        </r>
      </text>
    </comment>
    <comment ref="M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指定している時間帯は勤務時間から差し引かれる</t>
        </r>
      </text>
    </comment>
    <comment ref="S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作業場所のリストボックスの中身</t>
        </r>
      </text>
    </comment>
    <comment ref="T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自社か現場かで休憩時間の判断が変わる</t>
        </r>
      </text>
    </comment>
    <comment ref="V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案件のリストボックスの中身</t>
        </r>
      </text>
    </comment>
    <comment ref="A6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ハッピーマンデー
(1月の第2月曜日)</t>
        </r>
      </text>
    </comment>
    <comment ref="A9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3/19～3/22のいずれか</t>
        </r>
      </text>
    </comment>
    <comment ref="A17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ハッピーマンデー
(7月の第3月曜日)</t>
        </r>
      </text>
    </comment>
    <comment ref="A18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2016年から</t>
        </r>
      </text>
    </comment>
    <comment ref="A19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ハッピーマンデー
(9月の第3月曜日)</t>
        </r>
      </text>
    </comment>
    <comment ref="A20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祝日と祝日に挟まれた平日</t>
        </r>
      </text>
    </comment>
    <comment ref="A21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9/22～9/24のいずれか</t>
        </r>
      </text>
    </comment>
    <comment ref="A23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ハッピーマンデー
(10月の第2月曜日)</t>
        </r>
      </text>
    </comment>
    <comment ref="A2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2019年はなし？</t>
        </r>
      </text>
    </comment>
    <comment ref="A3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任意の休日を入力</t>
        </r>
      </text>
    </comment>
    <comment ref="A3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任意の休日を入力</t>
        </r>
      </text>
    </comment>
    <comment ref="A3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任意の休日を入力</t>
        </r>
      </text>
    </comment>
    <comment ref="A3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任意の休日を入力</t>
        </r>
      </text>
    </comment>
    <comment ref="A3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任意の休日を入力</t>
        </r>
      </text>
    </comment>
  </commentList>
</comments>
</file>

<file path=xl/sharedStrings.xml><?xml version="1.0" encoding="utf-8"?>
<sst xmlns="http://schemas.openxmlformats.org/spreadsheetml/2006/main" count="116" uniqueCount="90">
  <si>
    <t>日</t>
    <rPh sb="0" eb="1">
      <t>ヒ</t>
    </rPh>
    <phoneticPr fontId="2"/>
  </si>
  <si>
    <t>年</t>
    <rPh sb="0" eb="1">
      <t>ネン</t>
    </rPh>
    <phoneticPr fontId="2"/>
  </si>
  <si>
    <t>月</t>
    <rPh sb="0" eb="1">
      <t>ツキ</t>
    </rPh>
    <phoneticPr fontId="2"/>
  </si>
  <si>
    <t>作業場所</t>
    <rPh sb="0" eb="2">
      <t>サギョウ</t>
    </rPh>
    <rPh sb="2" eb="4">
      <t>バショ</t>
    </rPh>
    <phoneticPr fontId="2"/>
  </si>
  <si>
    <t>作業内容</t>
    <rPh sb="0" eb="2">
      <t>サギョウ</t>
    </rPh>
    <rPh sb="2" eb="4">
      <t>ナイヨウ</t>
    </rPh>
    <phoneticPr fontId="2"/>
  </si>
  <si>
    <t>工数</t>
    <rPh sb="0" eb="2">
      <t>コウスウ</t>
    </rPh>
    <phoneticPr fontId="2"/>
  </si>
  <si>
    <t>備考</t>
    <rPh sb="0" eb="2">
      <t>ビコウ</t>
    </rPh>
    <phoneticPr fontId="2"/>
  </si>
  <si>
    <t>開始</t>
    <rPh sb="0" eb="2">
      <t>カイシ</t>
    </rPh>
    <phoneticPr fontId="2"/>
  </si>
  <si>
    <t>終了</t>
    <rPh sb="0" eb="2">
      <t>シュウリョウ</t>
    </rPh>
    <phoneticPr fontId="2"/>
  </si>
  <si>
    <t>合計</t>
    <rPh sb="0" eb="2">
      <t>ゴウケイ</t>
    </rPh>
    <phoneticPr fontId="2"/>
  </si>
  <si>
    <t>案件</t>
    <rPh sb="0" eb="2">
      <t>アンケン</t>
    </rPh>
    <phoneticPr fontId="2"/>
  </si>
  <si>
    <t>体育の日</t>
    <rPh sb="0" eb="2">
      <t>タイイク</t>
    </rPh>
    <rPh sb="3" eb="4">
      <t>ヒ</t>
    </rPh>
    <phoneticPr fontId="2"/>
  </si>
  <si>
    <t>文化の日</t>
    <rPh sb="0" eb="2">
      <t>ブンカ</t>
    </rPh>
    <rPh sb="3" eb="4">
      <t>ヒ</t>
    </rPh>
    <phoneticPr fontId="2"/>
  </si>
  <si>
    <t>勤労感謝の日</t>
    <rPh sb="0" eb="2">
      <t>キンロウ</t>
    </rPh>
    <rPh sb="2" eb="4">
      <t>カンシャ</t>
    </rPh>
    <rPh sb="5" eb="6">
      <t>ヒ</t>
    </rPh>
    <phoneticPr fontId="2"/>
  </si>
  <si>
    <t>振替休日</t>
    <rPh sb="0" eb="2">
      <t>フリカエ</t>
    </rPh>
    <rPh sb="2" eb="4">
      <t>キュウジツ</t>
    </rPh>
    <phoneticPr fontId="2"/>
  </si>
  <si>
    <t>天皇誕生日</t>
    <rPh sb="0" eb="2">
      <t>テンノウ</t>
    </rPh>
    <rPh sb="2" eb="5">
      <t>タンジョウビ</t>
    </rPh>
    <phoneticPr fontId="2"/>
  </si>
  <si>
    <t>成人の日</t>
    <rPh sb="0" eb="2">
      <t>セイジン</t>
    </rPh>
    <rPh sb="3" eb="4">
      <t>ヒ</t>
    </rPh>
    <phoneticPr fontId="2"/>
  </si>
  <si>
    <t>元日</t>
    <rPh sb="0" eb="2">
      <t>ガンジツ</t>
    </rPh>
    <phoneticPr fontId="2"/>
  </si>
  <si>
    <t>建国記念の日</t>
    <rPh sb="0" eb="2">
      <t>ケンコク</t>
    </rPh>
    <rPh sb="2" eb="4">
      <t>キネン</t>
    </rPh>
    <rPh sb="5" eb="6">
      <t>ヒ</t>
    </rPh>
    <phoneticPr fontId="2"/>
  </si>
  <si>
    <t>春分の日</t>
    <rPh sb="0" eb="2">
      <t>シュンブン</t>
    </rPh>
    <rPh sb="3" eb="4">
      <t>ヒ</t>
    </rPh>
    <phoneticPr fontId="2"/>
  </si>
  <si>
    <t>2014年</t>
    <rPh sb="4" eb="5">
      <t>ネン</t>
    </rPh>
    <phoneticPr fontId="2"/>
  </si>
  <si>
    <t>昭和の日</t>
    <rPh sb="0" eb="2">
      <t>ショウワ</t>
    </rPh>
    <rPh sb="3" eb="4">
      <t>ヒ</t>
    </rPh>
    <phoneticPr fontId="2"/>
  </si>
  <si>
    <t>憲法記念日</t>
    <rPh sb="0" eb="2">
      <t>ケンポウ</t>
    </rPh>
    <rPh sb="2" eb="5">
      <t>キネンビ</t>
    </rPh>
    <phoneticPr fontId="2"/>
  </si>
  <si>
    <t>みどりの日</t>
    <rPh sb="4" eb="5">
      <t>ヒ</t>
    </rPh>
    <phoneticPr fontId="2"/>
  </si>
  <si>
    <t>こどもの日</t>
    <rPh sb="4" eb="5">
      <t>ヒ</t>
    </rPh>
    <phoneticPr fontId="2"/>
  </si>
  <si>
    <t>海の日</t>
    <rPh sb="0" eb="1">
      <t>ウミ</t>
    </rPh>
    <rPh sb="2" eb="3">
      <t>ヒ</t>
    </rPh>
    <phoneticPr fontId="2"/>
  </si>
  <si>
    <t>敬老の日</t>
    <rPh sb="0" eb="2">
      <t>ケイロウ</t>
    </rPh>
    <rPh sb="3" eb="4">
      <t>ヒ</t>
    </rPh>
    <phoneticPr fontId="2"/>
  </si>
  <si>
    <t>国民の休日</t>
    <rPh sb="0" eb="2">
      <t>コクミン</t>
    </rPh>
    <rPh sb="3" eb="5">
      <t>キュウジツ</t>
    </rPh>
    <phoneticPr fontId="2"/>
  </si>
  <si>
    <t>秋分の日</t>
    <rPh sb="0" eb="2">
      <t>シュウブン</t>
    </rPh>
    <rPh sb="3" eb="4">
      <t>ヒ</t>
    </rPh>
    <phoneticPr fontId="2"/>
  </si>
  <si>
    <t>山の日</t>
    <rPh sb="0" eb="1">
      <t>ヤマ</t>
    </rPh>
    <rPh sb="2" eb="3">
      <t>ヒ</t>
    </rPh>
    <phoneticPr fontId="2"/>
  </si>
  <si>
    <t>祝日</t>
    <rPh sb="0" eb="2">
      <t>シュクジツ</t>
    </rPh>
    <phoneticPr fontId="2"/>
  </si>
  <si>
    <t>休憩時間</t>
    <rPh sb="0" eb="2">
      <t>キュウケイ</t>
    </rPh>
    <rPh sb="2" eb="4">
      <t>ジカン</t>
    </rPh>
    <phoneticPr fontId="2"/>
  </si>
  <si>
    <t>昼休み</t>
    <rPh sb="0" eb="2">
      <t>ヒルヤス</t>
    </rPh>
    <phoneticPr fontId="2"/>
  </si>
  <si>
    <t>休憩１</t>
    <rPh sb="0" eb="2">
      <t>キュウケイ</t>
    </rPh>
    <phoneticPr fontId="2"/>
  </si>
  <si>
    <t>休憩２</t>
    <rPh sb="0" eb="2">
      <t>キュウケイ</t>
    </rPh>
    <phoneticPr fontId="2"/>
  </si>
  <si>
    <t/>
  </si>
  <si>
    <t>休憩３</t>
    <rPh sb="0" eb="2">
      <t>キュウケイ</t>
    </rPh>
    <phoneticPr fontId="2"/>
  </si>
  <si>
    <t>休憩４</t>
    <rPh sb="0" eb="2">
      <t>キュウケイ</t>
    </rPh>
    <phoneticPr fontId="2"/>
  </si>
  <si>
    <t>休憩５</t>
    <rPh sb="0" eb="2">
      <t>キュウケイ</t>
    </rPh>
    <phoneticPr fontId="2"/>
  </si>
  <si>
    <t>休日１</t>
    <rPh sb="0" eb="2">
      <t>キュウジツ</t>
    </rPh>
    <phoneticPr fontId="2"/>
  </si>
  <si>
    <t>三が日</t>
    <rPh sb="0" eb="1">
      <t>サン</t>
    </rPh>
    <rPh sb="2" eb="3">
      <t>ニチ</t>
    </rPh>
    <phoneticPr fontId="2"/>
  </si>
  <si>
    <t>休日２</t>
    <rPh sb="0" eb="2">
      <t>キュウジツ</t>
    </rPh>
    <phoneticPr fontId="2"/>
  </si>
  <si>
    <t>休日３</t>
    <rPh sb="0" eb="2">
      <t>キュウジツ</t>
    </rPh>
    <phoneticPr fontId="2"/>
  </si>
  <si>
    <t>休日４</t>
    <rPh sb="0" eb="2">
      <t>キュウジツ</t>
    </rPh>
    <phoneticPr fontId="2"/>
  </si>
  <si>
    <t>休日５</t>
    <rPh sb="0" eb="2">
      <t>キュウジツ</t>
    </rPh>
    <phoneticPr fontId="2"/>
  </si>
  <si>
    <t>勤務地</t>
    <phoneticPr fontId="0" type="Hiragana"/>
  </si>
  <si>
    <t>社員コード</t>
    <phoneticPr fontId="0" type="Hiragana"/>
  </si>
  <si>
    <t>記入者</t>
    <phoneticPr fontId="0" type="Hiragana"/>
  </si>
  <si>
    <t>勤務時間</t>
    <phoneticPr fontId="0" type="Hiragana"/>
  </si>
  <si>
    <t>年月</t>
    <phoneticPr fontId="0" type="Hiragana"/>
  </si>
  <si>
    <t>対象ファイル</t>
    <phoneticPr fontId="0" type="Hiragana"/>
  </si>
  <si>
    <t>現場</t>
    <rPh sb="0" eb="2">
      <t>ゲンバ</t>
    </rPh>
    <phoneticPr fontId="2"/>
  </si>
  <si>
    <t>現場</t>
    <rPh sb="0" eb="2">
      <t>ゲンバ</t>
    </rPh>
    <phoneticPr fontId="2"/>
  </si>
  <si>
    <t>勤務時間</t>
    <phoneticPr fontId="2"/>
  </si>
  <si>
    <t>日数</t>
    <rPh sb="0" eb="2">
      <t>ニッスウ</t>
    </rPh>
    <phoneticPr fontId="2"/>
  </si>
  <si>
    <t>出発</t>
    <rPh sb="0" eb="2">
      <t>シュッパツ</t>
    </rPh>
    <phoneticPr fontId="2"/>
  </si>
  <si>
    <t>到着</t>
    <rPh sb="0" eb="2">
      <t>トウチャク</t>
    </rPh>
    <phoneticPr fontId="2"/>
  </si>
  <si>
    <t>経由</t>
    <rPh sb="0" eb="2">
      <t>ケイユ</t>
    </rPh>
    <phoneticPr fontId="2"/>
  </si>
  <si>
    <t>※IEが起動する</t>
    <rPh sb="4" eb="6">
      <t>キドウ</t>
    </rPh>
    <phoneticPr fontId="2"/>
  </si>
  <si>
    <t>自社</t>
    <rPh sb="0" eb="2">
      <t>ジシャ</t>
    </rPh>
    <phoneticPr fontId="2"/>
  </si>
  <si>
    <t>/現場</t>
    <rPh sb="1" eb="3">
      <t>ゲンバ</t>
    </rPh>
    <phoneticPr fontId="2"/>
  </si>
  <si>
    <t>対象フォルダ</t>
    <phoneticPr fontId="0" type="Hiragana"/>
  </si>
  <si>
    <t>＜要件定義＞</t>
    <rPh sb="1" eb="3">
      <t>ヨウケン</t>
    </rPh>
    <rPh sb="3" eb="5">
      <t>テイギ</t>
    </rPh>
    <phoneticPr fontId="2"/>
  </si>
  <si>
    <t>＜外部設計＞</t>
    <rPh sb="1" eb="3">
      <t>ガイブ</t>
    </rPh>
    <rPh sb="3" eb="5">
      <t>セッケイ</t>
    </rPh>
    <phoneticPr fontId="2"/>
  </si>
  <si>
    <t>チェック実施者</t>
    <rPh sb="4" eb="7">
      <t>じっししゃ</t>
    </rPh>
    <phoneticPr fontId="0" type="Hiragana"/>
  </si>
  <si>
    <t>チェック実施日</t>
    <rPh sb="4" eb="7">
      <t>じっしび</t>
    </rPh>
    <phoneticPr fontId="0" type="Hiragana"/>
  </si>
  <si>
    <t>プロジェクト名</t>
    <rPh sb="6" eb="7">
      <t>メイ</t>
    </rPh>
    <phoneticPr fontId="2"/>
  </si>
  <si>
    <t>チーム名</t>
    <rPh sb="3" eb="4">
      <t>メイ</t>
    </rPh>
    <phoneticPr fontId="2"/>
  </si>
  <si>
    <t>業務機能名</t>
    <rPh sb="0" eb="2">
      <t>ギョウム</t>
    </rPh>
    <rPh sb="2" eb="4">
      <t>キノウ</t>
    </rPh>
    <rPh sb="4" eb="5">
      <t>メイ</t>
    </rPh>
    <phoneticPr fontId="2"/>
  </si>
  <si>
    <t>現場</t>
    <rPh sb="0" eb="2">
      <t>ゲンバ</t>
    </rPh>
    <phoneticPr fontId="2"/>
  </si>
  <si>
    <t>＜要件定義＞</t>
    <rPh sb="1" eb="3">
      <t>ヨウケン</t>
    </rPh>
    <rPh sb="3" eb="5">
      <t>テイギ</t>
    </rPh>
    <phoneticPr fontId="2"/>
  </si>
  <si>
    <r>
      <t>A</t>
    </r>
    <r>
      <rPr>
        <sz val="10"/>
        <color theme="1"/>
        <rFont val="ＭＳ ゴシック"/>
        <family val="3"/>
        <charset val="128"/>
      </rPr>
      <t>AAAA</t>
    </r>
    <phoneticPr fontId="2"/>
  </si>
  <si>
    <r>
      <t>B</t>
    </r>
    <r>
      <rPr>
        <sz val="10"/>
        <color theme="1"/>
        <rFont val="ＭＳ ゴシック"/>
        <family val="3"/>
        <charset val="128"/>
      </rPr>
      <t>BBBB</t>
    </r>
    <phoneticPr fontId="2"/>
  </si>
  <si>
    <r>
      <t>C</t>
    </r>
    <r>
      <rPr>
        <sz val="10"/>
        <color theme="1"/>
        <rFont val="ＭＳ ゴシック"/>
        <family val="3"/>
        <charset val="128"/>
      </rPr>
      <t>CCCC</t>
    </r>
    <phoneticPr fontId="2"/>
  </si>
  <si>
    <r>
      <t>D</t>
    </r>
    <r>
      <rPr>
        <sz val="10"/>
        <color theme="1"/>
        <rFont val="ＭＳ ゴシック"/>
        <family val="3"/>
        <charset val="128"/>
      </rPr>
      <t>DDDD</t>
    </r>
    <phoneticPr fontId="2"/>
  </si>
  <si>
    <r>
      <t>E</t>
    </r>
    <r>
      <rPr>
        <sz val="10"/>
        <color theme="1"/>
        <rFont val="ＭＳ ゴシック"/>
        <family val="3"/>
        <charset val="128"/>
      </rPr>
      <t>EEEE</t>
    </r>
    <phoneticPr fontId="2"/>
  </si>
  <si>
    <r>
      <t>F</t>
    </r>
    <r>
      <rPr>
        <sz val="10"/>
        <color theme="1"/>
        <rFont val="ＭＳ ゴシック"/>
        <family val="3"/>
        <charset val="128"/>
      </rPr>
      <t>FFFF</t>
    </r>
    <phoneticPr fontId="2"/>
  </si>
  <si>
    <r>
      <t>G</t>
    </r>
    <r>
      <rPr>
        <sz val="10"/>
        <color theme="1"/>
        <rFont val="ＭＳ ゴシック"/>
        <family val="3"/>
        <charset val="128"/>
      </rPr>
      <t>GGGG</t>
    </r>
    <phoneticPr fontId="2"/>
  </si>
  <si>
    <t>AAAAA</t>
  </si>
  <si>
    <t>BBBBB</t>
  </si>
  <si>
    <t>CCCCC</t>
  </si>
  <si>
    <t>DDDDD</t>
  </si>
  <si>
    <t>EEEEE</t>
  </si>
  <si>
    <t>FFFFF</t>
  </si>
  <si>
    <t>GGGGG</t>
  </si>
  <si>
    <t>HHHHH</t>
    <phoneticPr fontId="2"/>
  </si>
  <si>
    <r>
      <t>I</t>
    </r>
    <r>
      <rPr>
        <sz val="10"/>
        <color theme="1"/>
        <rFont val="ＭＳ ゴシック"/>
        <family val="3"/>
        <charset val="128"/>
      </rPr>
      <t>IIII</t>
    </r>
    <phoneticPr fontId="2"/>
  </si>
  <si>
    <r>
      <t>J</t>
    </r>
    <r>
      <rPr>
        <sz val="10"/>
        <color theme="1"/>
        <rFont val="ＭＳ ゴシック"/>
        <family val="3"/>
        <charset val="128"/>
      </rPr>
      <t>JJJJ</t>
    </r>
    <phoneticPr fontId="2"/>
  </si>
  <si>
    <t>KKKKK</t>
    <phoneticPr fontId="2"/>
  </si>
  <si>
    <r>
      <t>L</t>
    </r>
    <r>
      <rPr>
        <sz val="10"/>
        <color theme="1"/>
        <rFont val="ＭＳ ゴシック"/>
        <family val="3"/>
        <charset val="128"/>
      </rPr>
      <t>LLLL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</si>
</sst>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d"/>
    <numFmt numFmtId="177" formatCode="aaa"/>
    <numFmt numFmtId="178" formatCode="0.0_ "/>
    <numFmt numFmtId="179" formatCode="0_);[Red]\(0\)"/>
    <numFmt numFmtId="180" formatCode="[hh]:mm"/>
  </numFmts>
  <fonts count="10">
    <font>
      <sz val="10"/>
      <color theme="1"/>
      <name val="ＭＳ ゴシック"/>
      <family val="3"/>
      <charset val="128"/>
    </font>
    <font>
      <sz val="10"/>
      <color theme="1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color rgb="FFFF0000"/>
      <name val="ＭＳ 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b/>
      <sz val="9"/>
      <color indexed="81"/>
      <name val="ＭＳ Ｐゴシック"/>
      <family val="3"/>
      <charset val="128"/>
    </font>
    <font>
      <sz val="10"/>
      <name val="ＭＳ ゴシック"/>
      <family val="3"/>
      <charset val="128"/>
    </font>
    <font>
      <sz val="10"/>
      <color rgb="FF000000"/>
      <name val="ＭＳ ゴシック"/>
      <family val="3"/>
      <charset val="128"/>
    </font>
    <font>
      <sz val="9"/>
      <color rgb="FF000000"/>
      <name val="ＭＳ ゴシック"/>
      <family val="3"/>
      <charset val="128"/>
    </font>
    <font>
      <b/>
      <sz val="10"/>
      <color theme="1"/>
      <name val="ＭＳ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</cellStyleXfs>
  <cellXfs count="75">
    <xf numFmtId="0" fontId="0" fillId="0" borderId="0" xfId="0">
      <alignment vertical="center"/>
    </xf>
    <xf numFmtId="49" fontId="1" fillId="0" borderId="0" xfId="0" applyNumberFormat="1" applyFont="1">
      <alignment vertical="center"/>
    </xf>
    <xf numFmtId="49" fontId="1" fillId="2" borderId="2" xfId="0" applyNumberFormat="1" applyFont="1" applyFill="1" applyBorder="1" applyAlignment="1">
      <alignment vertical="center"/>
    </xf>
    <xf numFmtId="49" fontId="1" fillId="2" borderId="2" xfId="0" applyNumberFormat="1" applyFont="1" applyFill="1" applyBorder="1" applyAlignment="1">
      <alignment horizontal="centerContinuous" vertical="center"/>
    </xf>
    <xf numFmtId="49" fontId="1" fillId="2" borderId="3" xfId="0" applyNumberFormat="1" applyFont="1" applyFill="1" applyBorder="1" applyAlignment="1">
      <alignment horizontal="centerContinuous" vertical="center"/>
    </xf>
    <xf numFmtId="178" fontId="1" fillId="3" borderId="1" xfId="0" applyNumberFormat="1" applyFont="1" applyFill="1" applyBorder="1">
      <alignment vertical="center"/>
    </xf>
    <xf numFmtId="49" fontId="1" fillId="0" borderId="0" xfId="0" applyNumberFormat="1" applyFont="1" applyAlignment="1">
      <alignment horizontal="right" vertical="center"/>
    </xf>
    <xf numFmtId="0" fontId="1" fillId="0" borderId="0" xfId="0" applyNumberFormat="1" applyFont="1">
      <alignment vertical="center"/>
    </xf>
    <xf numFmtId="0" fontId="1" fillId="0" borderId="1" xfId="0" applyNumberFormat="1" applyFont="1" applyBorder="1">
      <alignment vertical="center"/>
    </xf>
    <xf numFmtId="14" fontId="1" fillId="0" borderId="1" xfId="0" applyNumberFormat="1" applyFont="1" applyBorder="1">
      <alignment vertical="center"/>
    </xf>
    <xf numFmtId="0" fontId="1" fillId="4" borderId="1" xfId="0" applyNumberFormat="1" applyFont="1" applyFill="1" applyBorder="1">
      <alignment vertical="center"/>
    </xf>
    <xf numFmtId="0" fontId="1" fillId="5" borderId="1" xfId="0" applyNumberFormat="1" applyFont="1" applyFill="1" applyBorder="1">
      <alignment vertical="center"/>
    </xf>
    <xf numFmtId="20" fontId="1" fillId="0" borderId="1" xfId="0" applyNumberFormat="1" applyFont="1" applyBorder="1">
      <alignment vertical="center"/>
    </xf>
    <xf numFmtId="49" fontId="3" fillId="0" borderId="0" xfId="0" applyNumberFormat="1" applyFont="1" applyFill="1" applyBorder="1" applyAlignment="1">
      <alignment horizontal="right" vertical="center"/>
    </xf>
    <xf numFmtId="49" fontId="6" fillId="0" borderId="0" xfId="0" applyNumberFormat="1" applyFont="1" applyFill="1" applyBorder="1" applyAlignment="1">
      <alignment horizontal="right" vertical="center"/>
    </xf>
    <xf numFmtId="0" fontId="1" fillId="0" borderId="1" xfId="0" applyNumberFormat="1" applyFont="1" applyFill="1" applyBorder="1">
      <alignment vertical="center"/>
    </xf>
    <xf numFmtId="14" fontId="1" fillId="0" borderId="1" xfId="0" applyNumberFormat="1" applyFont="1" applyFill="1" applyBorder="1">
      <alignment vertical="center"/>
    </xf>
    <xf numFmtId="0" fontId="1" fillId="0" borderId="0" xfId="0" applyNumberFormat="1" applyFont="1" applyFill="1">
      <alignment vertical="center"/>
    </xf>
    <xf numFmtId="49" fontId="3" fillId="3" borderId="2" xfId="0" applyNumberFormat="1" applyFont="1" applyFill="1" applyBorder="1" applyAlignment="1">
      <alignment horizontal="right" vertical="center"/>
    </xf>
    <xf numFmtId="0" fontId="1" fillId="2" borderId="1" xfId="0" applyNumberFormat="1" applyFont="1" applyFill="1" applyBorder="1">
      <alignment vertical="center"/>
    </xf>
    <xf numFmtId="49" fontId="6" fillId="0" borderId="8" xfId="0" applyNumberFormat="1" applyFont="1" applyFill="1" applyBorder="1" applyAlignment="1">
      <alignment vertical="center"/>
    </xf>
    <xf numFmtId="49" fontId="6" fillId="0" borderId="8" xfId="0" applyNumberFormat="1" applyFont="1" applyFill="1" applyBorder="1" applyAlignment="1">
      <alignment vertical="center" wrapText="1"/>
    </xf>
    <xf numFmtId="178" fontId="6" fillId="0" borderId="8" xfId="0" applyNumberFormat="1" applyFont="1" applyFill="1" applyBorder="1" applyAlignment="1">
      <alignment horizontal="right" vertical="center"/>
    </xf>
    <xf numFmtId="49" fontId="6" fillId="0" borderId="9" xfId="0" applyNumberFormat="1" applyFont="1" applyFill="1" applyBorder="1" applyAlignment="1">
      <alignment vertical="center"/>
    </xf>
    <xf numFmtId="49" fontId="6" fillId="0" borderId="9" xfId="0" applyNumberFormat="1" applyFont="1" applyFill="1" applyBorder="1" applyAlignment="1">
      <alignment vertical="center" wrapText="1"/>
    </xf>
    <xf numFmtId="178" fontId="6" fillId="0" borderId="9" xfId="0" applyNumberFormat="1" applyFont="1" applyFill="1" applyBorder="1" applyAlignment="1">
      <alignment horizontal="right" vertical="center"/>
    </xf>
    <xf numFmtId="0" fontId="1" fillId="5" borderId="4" xfId="0" applyNumberFormat="1" applyFont="1" applyFill="1" applyBorder="1">
      <alignment vertical="center"/>
    </xf>
    <xf numFmtId="0" fontId="1" fillId="5" borderId="10" xfId="0" applyNumberFormat="1" applyFont="1" applyFill="1" applyBorder="1">
      <alignment vertical="center"/>
    </xf>
    <xf numFmtId="0" fontId="1" fillId="5" borderId="2" xfId="0" applyNumberFormat="1" applyFont="1" applyFill="1" applyBorder="1">
      <alignment vertical="center"/>
    </xf>
    <xf numFmtId="0" fontId="1" fillId="5" borderId="3" xfId="0" applyNumberFormat="1" applyFont="1" applyFill="1" applyBorder="1">
      <alignment vertical="center"/>
    </xf>
    <xf numFmtId="49" fontId="1" fillId="2" borderId="11" xfId="0" applyNumberFormat="1" applyFont="1" applyFill="1" applyBorder="1" applyAlignment="1">
      <alignment horizontal="centerContinuous" vertical="center"/>
    </xf>
    <xf numFmtId="49" fontId="1" fillId="2" borderId="12" xfId="0" applyNumberFormat="1" applyFont="1" applyFill="1" applyBorder="1" applyAlignment="1">
      <alignment horizontal="centerContinuous" vertical="center"/>
    </xf>
    <xf numFmtId="49" fontId="1" fillId="2" borderId="4" xfId="0" applyNumberFormat="1" applyFont="1" applyFill="1" applyBorder="1" applyAlignment="1">
      <alignment horizontal="center" vertical="center"/>
    </xf>
    <xf numFmtId="49" fontId="1" fillId="2" borderId="13" xfId="0" applyNumberFormat="1" applyFont="1" applyFill="1" applyBorder="1" applyAlignment="1">
      <alignment horizontal="centerContinuous" vertical="center"/>
    </xf>
    <xf numFmtId="49" fontId="1" fillId="2" borderId="14" xfId="0" applyNumberFormat="1" applyFont="1" applyFill="1" applyBorder="1" applyAlignment="1">
      <alignment horizontal="centerContinuous" vertical="center"/>
    </xf>
    <xf numFmtId="49" fontId="1" fillId="2" borderId="10" xfId="0" applyNumberFormat="1" applyFont="1" applyFill="1" applyBorder="1" applyAlignment="1">
      <alignment horizontal="center" vertical="center"/>
    </xf>
    <xf numFmtId="179" fontId="3" fillId="3" borderId="10" xfId="1" applyNumberFormat="1" applyFont="1" applyFill="1" applyBorder="1">
      <alignment vertical="center"/>
    </xf>
    <xf numFmtId="180" fontId="6" fillId="3" borderId="1" xfId="0" applyNumberFormat="1" applyFont="1" applyFill="1" applyBorder="1">
      <alignment vertical="center"/>
    </xf>
    <xf numFmtId="49" fontId="1" fillId="0" borderId="0" xfId="0" applyNumberFormat="1" applyFont="1" applyBorder="1">
      <alignment vertical="center"/>
    </xf>
    <xf numFmtId="0" fontId="1" fillId="5" borderId="4" xfId="0" applyNumberFormat="1" applyFont="1" applyFill="1" applyBorder="1" applyAlignment="1">
      <alignment horizontal="left" vertical="center"/>
    </xf>
    <xf numFmtId="0" fontId="1" fillId="5" borderId="10" xfId="0" applyNumberFormat="1" applyFont="1" applyFill="1" applyBorder="1" applyAlignment="1">
      <alignment horizontal="left" vertical="center"/>
    </xf>
    <xf numFmtId="0" fontId="1" fillId="2" borderId="4" xfId="0" applyNumberFormat="1" applyFont="1" applyFill="1" applyBorder="1">
      <alignment vertical="center"/>
    </xf>
    <xf numFmtId="14" fontId="1" fillId="0" borderId="4" xfId="0" applyNumberFormat="1" applyFont="1" applyFill="1" applyBorder="1">
      <alignment vertical="center"/>
    </xf>
    <xf numFmtId="0" fontId="9" fillId="6" borderId="15" xfId="0" applyNumberFormat="1" applyFont="1" applyFill="1" applyBorder="1">
      <alignment vertical="center"/>
    </xf>
    <xf numFmtId="0" fontId="9" fillId="6" borderId="16" xfId="0" applyNumberFormat="1" applyFont="1" applyFill="1" applyBorder="1">
      <alignment vertical="center"/>
    </xf>
    <xf numFmtId="0" fontId="9" fillId="6" borderId="17" xfId="0" applyNumberFormat="1" applyFont="1" applyFill="1" applyBorder="1">
      <alignment vertical="center"/>
    </xf>
    <xf numFmtId="0" fontId="0" fillId="0" borderId="1" xfId="0" applyNumberFormat="1" applyFont="1" applyBorder="1">
      <alignment vertical="center"/>
    </xf>
    <xf numFmtId="49" fontId="0" fillId="0" borderId="0" xfId="0" applyNumberFormat="1" applyFont="1">
      <alignment vertical="center"/>
    </xf>
    <xf numFmtId="0" fontId="0" fillId="0" borderId="1" xfId="0" applyNumberFormat="1" applyFont="1" applyFill="1" applyBorder="1">
      <alignment vertical="center"/>
    </xf>
    <xf numFmtId="176" fontId="6" fillId="0" borderId="5" xfId="0" applyNumberFormat="1" applyFont="1" applyFill="1" applyBorder="1" applyAlignment="1">
      <alignment horizontal="center" vertical="center"/>
    </xf>
    <xf numFmtId="176" fontId="6" fillId="0" borderId="6" xfId="0" applyNumberFormat="1" applyFont="1" applyFill="1" applyBorder="1" applyAlignment="1">
      <alignment horizontal="center" vertical="center"/>
    </xf>
    <xf numFmtId="177" fontId="6" fillId="0" borderId="5" xfId="0" applyNumberFormat="1" applyFont="1" applyFill="1" applyBorder="1" applyAlignment="1">
      <alignment horizontal="center" vertical="center"/>
    </xf>
    <xf numFmtId="177" fontId="6" fillId="0" borderId="6" xfId="0" applyNumberFormat="1" applyFont="1" applyFill="1" applyBorder="1" applyAlignment="1">
      <alignment horizontal="center" vertical="center"/>
    </xf>
    <xf numFmtId="180" fontId="6" fillId="0" borderId="5" xfId="0" applyNumberFormat="1" applyFont="1" applyFill="1" applyBorder="1" applyAlignment="1">
      <alignment horizontal="center" vertical="center"/>
    </xf>
    <xf numFmtId="180" fontId="6" fillId="0" borderId="6" xfId="0" applyNumberFormat="1" applyFont="1" applyFill="1" applyBorder="1" applyAlignment="1">
      <alignment horizontal="center" vertical="center"/>
    </xf>
    <xf numFmtId="180" fontId="6" fillId="0" borderId="4" xfId="0" applyNumberFormat="1" applyFont="1" applyFill="1" applyBorder="1" applyAlignment="1">
      <alignment horizontal="center" vertical="center"/>
    </xf>
    <xf numFmtId="180" fontId="6" fillId="0" borderId="10" xfId="0" applyNumberFormat="1" applyFont="1" applyFill="1" applyBorder="1" applyAlignment="1">
      <alignment horizontal="center" vertical="center"/>
    </xf>
    <xf numFmtId="179" fontId="1" fillId="0" borderId="2" xfId="0" applyNumberFormat="1" applyFont="1" applyBorder="1" applyAlignment="1">
      <alignment horizontal="left" vertical="center"/>
    </xf>
    <xf numFmtId="179" fontId="1" fillId="0" borderId="3" xfId="0" applyNumberFormat="1" applyFont="1" applyBorder="1" applyAlignment="1">
      <alignment horizontal="left" vertical="center"/>
    </xf>
    <xf numFmtId="176" fontId="6" fillId="0" borderId="4" xfId="0" applyNumberFormat="1" applyFont="1" applyFill="1" applyBorder="1" applyAlignment="1">
      <alignment horizontal="center" vertical="center"/>
    </xf>
    <xf numFmtId="176" fontId="6" fillId="0" borderId="10" xfId="0" applyNumberFormat="1" applyFont="1" applyFill="1" applyBorder="1" applyAlignment="1">
      <alignment horizontal="center" vertical="center"/>
    </xf>
    <xf numFmtId="177" fontId="6" fillId="0" borderId="4" xfId="0" applyNumberFormat="1" applyFont="1" applyFill="1" applyBorder="1" applyAlignment="1" applyProtection="1">
      <alignment horizontal="center" vertical="center"/>
    </xf>
    <xf numFmtId="177" fontId="6" fillId="0" borderId="10" xfId="0" applyNumberFormat="1" applyFont="1" applyFill="1" applyBorder="1" applyAlignment="1" applyProtection="1">
      <alignment horizontal="center" vertical="center"/>
    </xf>
    <xf numFmtId="49" fontId="1" fillId="0" borderId="1" xfId="0" applyNumberFormat="1" applyFont="1" applyBorder="1">
      <alignment vertical="center"/>
    </xf>
    <xf numFmtId="49" fontId="1" fillId="2" borderId="2" xfId="0" applyNumberFormat="1" applyFont="1" applyFill="1" applyBorder="1">
      <alignment vertical="center"/>
    </xf>
    <xf numFmtId="49" fontId="1" fillId="2" borderId="7" xfId="0" applyNumberFormat="1" applyFont="1" applyFill="1" applyBorder="1">
      <alignment vertical="center"/>
    </xf>
    <xf numFmtId="49" fontId="1" fillId="2" borderId="3" xfId="0" applyNumberFormat="1" applyFont="1" applyFill="1" applyBorder="1">
      <alignment vertical="center"/>
    </xf>
    <xf numFmtId="49" fontId="1" fillId="0" borderId="2" xfId="0" applyNumberFormat="1" applyFont="1" applyBorder="1">
      <alignment vertical="center"/>
    </xf>
    <xf numFmtId="49" fontId="1" fillId="0" borderId="7" xfId="0" applyNumberFormat="1" applyFont="1" applyBorder="1">
      <alignment vertical="center"/>
    </xf>
    <xf numFmtId="49" fontId="1" fillId="0" borderId="3" xfId="0" applyNumberFormat="1" applyFont="1" applyBorder="1">
      <alignment vertical="center"/>
    </xf>
    <xf numFmtId="49" fontId="0" fillId="0" borderId="2" xfId="0" applyNumberFormat="1" applyFont="1" applyBorder="1">
      <alignment vertical="center"/>
    </xf>
    <xf numFmtId="179" fontId="1" fillId="0" borderId="7" xfId="0" applyNumberFormat="1" applyFont="1" applyBorder="1" applyAlignment="1">
      <alignment horizontal="left" vertical="center"/>
    </xf>
    <xf numFmtId="49" fontId="1" fillId="2" borderId="2" xfId="0" applyNumberFormat="1" applyFont="1" applyFill="1" applyBorder="1" applyAlignment="1">
      <alignment vertical="center"/>
    </xf>
    <xf numFmtId="49" fontId="1" fillId="2" borderId="7" xfId="0" applyNumberFormat="1" applyFont="1" applyFill="1" applyBorder="1" applyAlignment="1">
      <alignment vertical="center"/>
    </xf>
    <xf numFmtId="49" fontId="1" fillId="2" borderId="3" xfId="0" applyNumberFormat="1" applyFont="1" applyFill="1" applyBorder="1" applyAlignment="1">
      <alignment vertical="center"/>
    </xf>
  </cellXfs>
  <cellStyles count="2">
    <cellStyle name="パーセント" xfId="1" builtinId="5"/>
    <cellStyle name="標準" xfId="0" builtinId="0" customBuiltin="1"/>
  </cellStyles>
  <dxfs count="2"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</xdr:row>
          <xdr:rowOff>9525</xdr:rowOff>
        </xdr:from>
        <xdr:to>
          <xdr:col>11</xdr:col>
          <xdr:colOff>190500</xdr:colOff>
          <xdr:row>6</xdr:row>
          <xdr:rowOff>152400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8</xdr:row>
          <xdr:rowOff>9525</xdr:rowOff>
        </xdr:from>
        <xdr:to>
          <xdr:col>11</xdr:col>
          <xdr:colOff>190500</xdr:colOff>
          <xdr:row>8</xdr:row>
          <xdr:rowOff>152400</xdr:rowOff>
        </xdr:to>
        <xdr:sp macro="" textlink="">
          <xdr:nvSpPr>
            <xdr:cNvPr id="20590" name="Button 110" hidden="1">
              <a:extLst>
                <a:ext uri="{63B3BB69-23CF-44E3-9099-C40C66FF867C}">
                  <a14:compatExt spid="_x0000_s20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10</xdr:row>
          <xdr:rowOff>9525</xdr:rowOff>
        </xdr:from>
        <xdr:to>
          <xdr:col>11</xdr:col>
          <xdr:colOff>190500</xdr:colOff>
          <xdr:row>10</xdr:row>
          <xdr:rowOff>152400</xdr:rowOff>
        </xdr:to>
        <xdr:sp macro="" textlink="">
          <xdr:nvSpPr>
            <xdr:cNvPr id="20591" name="Button 111" hidden="1">
              <a:extLst>
                <a:ext uri="{63B3BB69-23CF-44E3-9099-C40C66FF867C}">
                  <a14:compatExt spid="_x0000_s20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12</xdr:row>
          <xdr:rowOff>9525</xdr:rowOff>
        </xdr:from>
        <xdr:to>
          <xdr:col>11</xdr:col>
          <xdr:colOff>190500</xdr:colOff>
          <xdr:row>12</xdr:row>
          <xdr:rowOff>152400</xdr:rowOff>
        </xdr:to>
        <xdr:sp macro="" textlink="">
          <xdr:nvSpPr>
            <xdr:cNvPr id="20592" name="Button 112" hidden="1">
              <a:extLst>
                <a:ext uri="{63B3BB69-23CF-44E3-9099-C40C66FF867C}">
                  <a14:compatExt spid="_x0000_s20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14</xdr:row>
          <xdr:rowOff>9525</xdr:rowOff>
        </xdr:from>
        <xdr:to>
          <xdr:col>11</xdr:col>
          <xdr:colOff>190500</xdr:colOff>
          <xdr:row>14</xdr:row>
          <xdr:rowOff>152400</xdr:rowOff>
        </xdr:to>
        <xdr:sp macro="" textlink="">
          <xdr:nvSpPr>
            <xdr:cNvPr id="20593" name="Button 113" hidden="1">
              <a:extLst>
                <a:ext uri="{63B3BB69-23CF-44E3-9099-C40C66FF867C}">
                  <a14:compatExt spid="_x0000_s20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16</xdr:row>
          <xdr:rowOff>9525</xdr:rowOff>
        </xdr:from>
        <xdr:to>
          <xdr:col>11</xdr:col>
          <xdr:colOff>190500</xdr:colOff>
          <xdr:row>16</xdr:row>
          <xdr:rowOff>152400</xdr:rowOff>
        </xdr:to>
        <xdr:sp macro="" textlink="">
          <xdr:nvSpPr>
            <xdr:cNvPr id="20594" name="Button 114" hidden="1">
              <a:extLst>
                <a:ext uri="{63B3BB69-23CF-44E3-9099-C40C66FF867C}">
                  <a14:compatExt spid="_x0000_s20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18</xdr:row>
          <xdr:rowOff>9525</xdr:rowOff>
        </xdr:from>
        <xdr:to>
          <xdr:col>11</xdr:col>
          <xdr:colOff>190500</xdr:colOff>
          <xdr:row>18</xdr:row>
          <xdr:rowOff>152400</xdr:rowOff>
        </xdr:to>
        <xdr:sp macro="" textlink="">
          <xdr:nvSpPr>
            <xdr:cNvPr id="20595" name="Button 115" hidden="1">
              <a:extLst>
                <a:ext uri="{63B3BB69-23CF-44E3-9099-C40C66FF867C}">
                  <a14:compatExt spid="_x0000_s20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20</xdr:row>
          <xdr:rowOff>9525</xdr:rowOff>
        </xdr:from>
        <xdr:to>
          <xdr:col>11</xdr:col>
          <xdr:colOff>190500</xdr:colOff>
          <xdr:row>20</xdr:row>
          <xdr:rowOff>152400</xdr:rowOff>
        </xdr:to>
        <xdr:sp macro="" textlink="">
          <xdr:nvSpPr>
            <xdr:cNvPr id="20596" name="Button 116" hidden="1">
              <a:extLst>
                <a:ext uri="{63B3BB69-23CF-44E3-9099-C40C66FF867C}">
                  <a14:compatExt spid="_x0000_s20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22</xdr:row>
          <xdr:rowOff>9525</xdr:rowOff>
        </xdr:from>
        <xdr:to>
          <xdr:col>11</xdr:col>
          <xdr:colOff>190500</xdr:colOff>
          <xdr:row>22</xdr:row>
          <xdr:rowOff>152400</xdr:rowOff>
        </xdr:to>
        <xdr:sp macro="" textlink="">
          <xdr:nvSpPr>
            <xdr:cNvPr id="20597" name="Button 117" hidden="1">
              <a:extLst>
                <a:ext uri="{63B3BB69-23CF-44E3-9099-C40C66FF867C}">
                  <a14:compatExt spid="_x0000_s20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24</xdr:row>
          <xdr:rowOff>9525</xdr:rowOff>
        </xdr:from>
        <xdr:to>
          <xdr:col>11</xdr:col>
          <xdr:colOff>190500</xdr:colOff>
          <xdr:row>24</xdr:row>
          <xdr:rowOff>152400</xdr:rowOff>
        </xdr:to>
        <xdr:sp macro="" textlink="">
          <xdr:nvSpPr>
            <xdr:cNvPr id="20598" name="Button 118" hidden="1">
              <a:extLst>
                <a:ext uri="{63B3BB69-23CF-44E3-9099-C40C66FF867C}">
                  <a14:compatExt spid="_x0000_s20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26</xdr:row>
          <xdr:rowOff>9525</xdr:rowOff>
        </xdr:from>
        <xdr:to>
          <xdr:col>11</xdr:col>
          <xdr:colOff>190500</xdr:colOff>
          <xdr:row>26</xdr:row>
          <xdr:rowOff>152400</xdr:rowOff>
        </xdr:to>
        <xdr:sp macro="" textlink="">
          <xdr:nvSpPr>
            <xdr:cNvPr id="20599" name="Button 119" hidden="1">
              <a:extLst>
                <a:ext uri="{63B3BB69-23CF-44E3-9099-C40C66FF867C}">
                  <a14:compatExt spid="_x0000_s20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9525</xdr:rowOff>
        </xdr:from>
        <xdr:to>
          <xdr:col>11</xdr:col>
          <xdr:colOff>190500</xdr:colOff>
          <xdr:row>28</xdr:row>
          <xdr:rowOff>152400</xdr:rowOff>
        </xdr:to>
        <xdr:sp macro="" textlink="">
          <xdr:nvSpPr>
            <xdr:cNvPr id="20600" name="Button 120" hidden="1">
              <a:extLst>
                <a:ext uri="{63B3BB69-23CF-44E3-9099-C40C66FF867C}">
                  <a14:compatExt spid="_x0000_s20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30</xdr:row>
          <xdr:rowOff>9525</xdr:rowOff>
        </xdr:from>
        <xdr:to>
          <xdr:col>11</xdr:col>
          <xdr:colOff>190500</xdr:colOff>
          <xdr:row>30</xdr:row>
          <xdr:rowOff>152400</xdr:rowOff>
        </xdr:to>
        <xdr:sp macro="" textlink="">
          <xdr:nvSpPr>
            <xdr:cNvPr id="20601" name="Button 121" hidden="1">
              <a:extLst>
                <a:ext uri="{63B3BB69-23CF-44E3-9099-C40C66FF867C}">
                  <a14:compatExt spid="_x0000_s20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32</xdr:row>
          <xdr:rowOff>9525</xdr:rowOff>
        </xdr:from>
        <xdr:to>
          <xdr:col>11</xdr:col>
          <xdr:colOff>190500</xdr:colOff>
          <xdr:row>32</xdr:row>
          <xdr:rowOff>152400</xdr:rowOff>
        </xdr:to>
        <xdr:sp macro="" textlink="">
          <xdr:nvSpPr>
            <xdr:cNvPr id="20602" name="Button 122" hidden="1">
              <a:extLst>
                <a:ext uri="{63B3BB69-23CF-44E3-9099-C40C66FF867C}">
                  <a14:compatExt spid="_x0000_s20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34</xdr:row>
          <xdr:rowOff>9525</xdr:rowOff>
        </xdr:from>
        <xdr:to>
          <xdr:col>11</xdr:col>
          <xdr:colOff>190500</xdr:colOff>
          <xdr:row>34</xdr:row>
          <xdr:rowOff>152400</xdr:rowOff>
        </xdr:to>
        <xdr:sp macro="" textlink="">
          <xdr:nvSpPr>
            <xdr:cNvPr id="20603" name="Button 123" hidden="1">
              <a:extLst>
                <a:ext uri="{63B3BB69-23CF-44E3-9099-C40C66FF867C}">
                  <a14:compatExt spid="_x0000_s20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36</xdr:row>
          <xdr:rowOff>9525</xdr:rowOff>
        </xdr:from>
        <xdr:to>
          <xdr:col>11</xdr:col>
          <xdr:colOff>190500</xdr:colOff>
          <xdr:row>36</xdr:row>
          <xdr:rowOff>152400</xdr:rowOff>
        </xdr:to>
        <xdr:sp macro="" textlink="">
          <xdr:nvSpPr>
            <xdr:cNvPr id="20604" name="Button 124" hidden="1">
              <a:extLst>
                <a:ext uri="{63B3BB69-23CF-44E3-9099-C40C66FF867C}">
                  <a14:compatExt spid="_x0000_s20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38</xdr:row>
          <xdr:rowOff>9525</xdr:rowOff>
        </xdr:from>
        <xdr:to>
          <xdr:col>11</xdr:col>
          <xdr:colOff>190500</xdr:colOff>
          <xdr:row>38</xdr:row>
          <xdr:rowOff>152400</xdr:rowOff>
        </xdr:to>
        <xdr:sp macro="" textlink="">
          <xdr:nvSpPr>
            <xdr:cNvPr id="20605" name="Button 125" hidden="1">
              <a:extLst>
                <a:ext uri="{63B3BB69-23CF-44E3-9099-C40C66FF867C}">
                  <a14:compatExt spid="_x0000_s20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40</xdr:row>
          <xdr:rowOff>9525</xdr:rowOff>
        </xdr:from>
        <xdr:to>
          <xdr:col>11</xdr:col>
          <xdr:colOff>190500</xdr:colOff>
          <xdr:row>40</xdr:row>
          <xdr:rowOff>152400</xdr:rowOff>
        </xdr:to>
        <xdr:sp macro="" textlink="">
          <xdr:nvSpPr>
            <xdr:cNvPr id="20606" name="Button 126" hidden="1">
              <a:extLst>
                <a:ext uri="{63B3BB69-23CF-44E3-9099-C40C66FF867C}">
                  <a14:compatExt spid="_x0000_s20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42</xdr:row>
          <xdr:rowOff>9525</xdr:rowOff>
        </xdr:from>
        <xdr:to>
          <xdr:col>11</xdr:col>
          <xdr:colOff>190500</xdr:colOff>
          <xdr:row>42</xdr:row>
          <xdr:rowOff>152400</xdr:rowOff>
        </xdr:to>
        <xdr:sp macro="" textlink="">
          <xdr:nvSpPr>
            <xdr:cNvPr id="20607" name="Button 127" hidden="1">
              <a:extLst>
                <a:ext uri="{63B3BB69-23CF-44E3-9099-C40C66FF867C}">
                  <a14:compatExt spid="_x0000_s20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44</xdr:row>
          <xdr:rowOff>9525</xdr:rowOff>
        </xdr:from>
        <xdr:to>
          <xdr:col>11</xdr:col>
          <xdr:colOff>190500</xdr:colOff>
          <xdr:row>44</xdr:row>
          <xdr:rowOff>152400</xdr:rowOff>
        </xdr:to>
        <xdr:sp macro="" textlink="">
          <xdr:nvSpPr>
            <xdr:cNvPr id="20608" name="Button 128" hidden="1">
              <a:extLst>
                <a:ext uri="{63B3BB69-23CF-44E3-9099-C40C66FF867C}">
                  <a14:compatExt spid="_x0000_s20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46</xdr:row>
          <xdr:rowOff>9525</xdr:rowOff>
        </xdr:from>
        <xdr:to>
          <xdr:col>11</xdr:col>
          <xdr:colOff>190500</xdr:colOff>
          <xdr:row>46</xdr:row>
          <xdr:rowOff>152400</xdr:rowOff>
        </xdr:to>
        <xdr:sp macro="" textlink="">
          <xdr:nvSpPr>
            <xdr:cNvPr id="20609" name="Button 129" hidden="1">
              <a:extLst>
                <a:ext uri="{63B3BB69-23CF-44E3-9099-C40C66FF867C}">
                  <a14:compatExt spid="_x0000_s20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48</xdr:row>
          <xdr:rowOff>9525</xdr:rowOff>
        </xdr:from>
        <xdr:to>
          <xdr:col>11</xdr:col>
          <xdr:colOff>190500</xdr:colOff>
          <xdr:row>48</xdr:row>
          <xdr:rowOff>152400</xdr:rowOff>
        </xdr:to>
        <xdr:sp macro="" textlink="">
          <xdr:nvSpPr>
            <xdr:cNvPr id="20610" name="Button 130" hidden="1">
              <a:extLst>
                <a:ext uri="{63B3BB69-23CF-44E3-9099-C40C66FF867C}">
                  <a14:compatExt spid="_x0000_s20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50</xdr:row>
          <xdr:rowOff>9525</xdr:rowOff>
        </xdr:from>
        <xdr:to>
          <xdr:col>11</xdr:col>
          <xdr:colOff>190500</xdr:colOff>
          <xdr:row>50</xdr:row>
          <xdr:rowOff>152400</xdr:rowOff>
        </xdr:to>
        <xdr:sp macro="" textlink="">
          <xdr:nvSpPr>
            <xdr:cNvPr id="20611" name="Button 131" hidden="1">
              <a:extLst>
                <a:ext uri="{63B3BB69-23CF-44E3-9099-C40C66FF867C}">
                  <a14:compatExt spid="_x0000_s20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52</xdr:row>
          <xdr:rowOff>9525</xdr:rowOff>
        </xdr:from>
        <xdr:to>
          <xdr:col>11</xdr:col>
          <xdr:colOff>190500</xdr:colOff>
          <xdr:row>52</xdr:row>
          <xdr:rowOff>152400</xdr:rowOff>
        </xdr:to>
        <xdr:sp macro="" textlink="">
          <xdr:nvSpPr>
            <xdr:cNvPr id="20612" name="Button 132" hidden="1">
              <a:extLst>
                <a:ext uri="{63B3BB69-23CF-44E3-9099-C40C66FF867C}">
                  <a14:compatExt spid="_x0000_s20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54</xdr:row>
          <xdr:rowOff>9525</xdr:rowOff>
        </xdr:from>
        <xdr:to>
          <xdr:col>11</xdr:col>
          <xdr:colOff>190500</xdr:colOff>
          <xdr:row>54</xdr:row>
          <xdr:rowOff>152400</xdr:rowOff>
        </xdr:to>
        <xdr:sp macro="" textlink="">
          <xdr:nvSpPr>
            <xdr:cNvPr id="20613" name="Button 133" hidden="1">
              <a:extLst>
                <a:ext uri="{63B3BB69-23CF-44E3-9099-C40C66FF867C}">
                  <a14:compatExt spid="_x0000_s20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56</xdr:row>
          <xdr:rowOff>9525</xdr:rowOff>
        </xdr:from>
        <xdr:to>
          <xdr:col>11</xdr:col>
          <xdr:colOff>190500</xdr:colOff>
          <xdr:row>56</xdr:row>
          <xdr:rowOff>152400</xdr:rowOff>
        </xdr:to>
        <xdr:sp macro="" textlink="">
          <xdr:nvSpPr>
            <xdr:cNvPr id="20614" name="Button 134" hidden="1">
              <a:extLst>
                <a:ext uri="{63B3BB69-23CF-44E3-9099-C40C66FF867C}">
                  <a14:compatExt spid="_x0000_s20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58</xdr:row>
          <xdr:rowOff>9525</xdr:rowOff>
        </xdr:from>
        <xdr:to>
          <xdr:col>11</xdr:col>
          <xdr:colOff>190500</xdr:colOff>
          <xdr:row>58</xdr:row>
          <xdr:rowOff>152400</xdr:rowOff>
        </xdr:to>
        <xdr:sp macro="" textlink="">
          <xdr:nvSpPr>
            <xdr:cNvPr id="20615" name="Button 135" hidden="1">
              <a:extLst>
                <a:ext uri="{63B3BB69-23CF-44E3-9099-C40C66FF867C}">
                  <a14:compatExt spid="_x0000_s20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60</xdr:row>
          <xdr:rowOff>9525</xdr:rowOff>
        </xdr:from>
        <xdr:to>
          <xdr:col>11</xdr:col>
          <xdr:colOff>190500</xdr:colOff>
          <xdr:row>60</xdr:row>
          <xdr:rowOff>152400</xdr:rowOff>
        </xdr:to>
        <xdr:sp macro="" textlink="">
          <xdr:nvSpPr>
            <xdr:cNvPr id="20616" name="Button 136" hidden="1">
              <a:extLst>
                <a:ext uri="{63B3BB69-23CF-44E3-9099-C40C66FF867C}">
                  <a14:compatExt spid="_x0000_s20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62</xdr:row>
          <xdr:rowOff>9525</xdr:rowOff>
        </xdr:from>
        <xdr:to>
          <xdr:col>11</xdr:col>
          <xdr:colOff>190500</xdr:colOff>
          <xdr:row>62</xdr:row>
          <xdr:rowOff>152400</xdr:rowOff>
        </xdr:to>
        <xdr:sp macro="" textlink="">
          <xdr:nvSpPr>
            <xdr:cNvPr id="20617" name="Button 137" hidden="1">
              <a:extLst>
                <a:ext uri="{63B3BB69-23CF-44E3-9099-C40C66FF867C}">
                  <a14:compatExt spid="_x0000_s20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64</xdr:row>
          <xdr:rowOff>9525</xdr:rowOff>
        </xdr:from>
        <xdr:to>
          <xdr:col>11</xdr:col>
          <xdr:colOff>190500</xdr:colOff>
          <xdr:row>64</xdr:row>
          <xdr:rowOff>152400</xdr:rowOff>
        </xdr:to>
        <xdr:sp macro="" textlink="">
          <xdr:nvSpPr>
            <xdr:cNvPr id="20618" name="Button 138" hidden="1">
              <a:extLst>
                <a:ext uri="{63B3BB69-23CF-44E3-9099-C40C66FF867C}">
                  <a14:compatExt spid="_x0000_s20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66</xdr:row>
          <xdr:rowOff>9525</xdr:rowOff>
        </xdr:from>
        <xdr:to>
          <xdr:col>11</xdr:col>
          <xdr:colOff>190500</xdr:colOff>
          <xdr:row>66</xdr:row>
          <xdr:rowOff>152400</xdr:rowOff>
        </xdr:to>
        <xdr:sp macro="" textlink="">
          <xdr:nvSpPr>
            <xdr:cNvPr id="20619" name="Button 139" hidden="1">
              <a:extLst>
                <a:ext uri="{63B3BB69-23CF-44E3-9099-C40C66FF867C}">
                  <a14:compatExt spid="_x0000_s20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新規作成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勤務表出力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9525</xdr:colOff>
          <xdr:row>13</xdr:row>
          <xdr:rowOff>9525</xdr:rowOff>
        </xdr:from>
        <xdr:to>
          <xdr:col>38</xdr:col>
          <xdr:colOff>0</xdr:colOff>
          <xdr:row>13</xdr:row>
          <xdr:rowOff>152400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24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Yahoo!で路線検索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37</xdr:row>
          <xdr:rowOff>0</xdr:rowOff>
        </xdr:from>
        <xdr:to>
          <xdr:col>8</xdr:col>
          <xdr:colOff>0</xdr:colOff>
          <xdr:row>39</xdr:row>
          <xdr:rowOff>0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セルフチェックリスト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37</xdr:row>
          <xdr:rowOff>0</xdr:rowOff>
        </xdr:from>
        <xdr:to>
          <xdr:col>15</xdr:col>
          <xdr:colOff>190500</xdr:colOff>
          <xdr:row>39</xdr:row>
          <xdr:rowOff>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レビュー依頼書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9525</xdr:colOff>
          <xdr:row>29</xdr:row>
          <xdr:rowOff>9525</xdr:rowOff>
        </xdr:from>
        <xdr:to>
          <xdr:col>38</xdr:col>
          <xdr:colOff>0</xdr:colOff>
          <xdr:row>30</xdr:row>
          <xdr:rowOff>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42</xdr:row>
          <xdr:rowOff>0</xdr:rowOff>
        </xdr:from>
        <xdr:to>
          <xdr:col>8</xdr:col>
          <xdr:colOff>0</xdr:colOff>
          <xdr:row>44</xdr:row>
          <xdr:rowOff>0</xdr:rowOff>
        </xdr:to>
        <xdr:sp macro="" textlink="">
          <xdr:nvSpPr>
            <xdr:cNvPr id="18443" name="Button 11" hidden="1">
              <a:extLst>
                <a:ext uri="{63B3BB69-23CF-44E3-9099-C40C66FF867C}">
                  <a14:compatExt spid="_x0000_s18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セルフチェックリスト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42</xdr:row>
          <xdr:rowOff>0</xdr:rowOff>
        </xdr:from>
        <xdr:to>
          <xdr:col>15</xdr:col>
          <xdr:colOff>190500</xdr:colOff>
          <xdr:row>44</xdr:row>
          <xdr:rowOff>0</xdr:rowOff>
        </xdr:to>
        <xdr:sp macro="" textlink="">
          <xdr:nvSpPr>
            <xdr:cNvPr id="18444" name="Button 12" hidden="1">
              <a:extLst>
                <a:ext uri="{63B3BB69-23CF-44E3-9099-C40C66FF867C}">
                  <a14:compatExt spid="_x0000_s18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レビュー依頼書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52</xdr:row>
          <xdr:rowOff>0</xdr:rowOff>
        </xdr:from>
        <xdr:to>
          <xdr:col>10</xdr:col>
          <xdr:colOff>0</xdr:colOff>
          <xdr:row>54</xdr:row>
          <xdr:rowOff>0</xdr:rowOff>
        </xdr:to>
        <xdr:sp macro="" textlink="">
          <xdr:nvSpPr>
            <xdr:cNvPr id="18446" name="Button 14" hidden="1">
              <a:extLst>
                <a:ext uri="{63B3BB69-23CF-44E3-9099-C40C66FF867C}">
                  <a14:compatExt spid="_x0000_s18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非表示の名前定義を表示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42</xdr:row>
          <xdr:rowOff>0</xdr:rowOff>
        </xdr:from>
        <xdr:to>
          <xdr:col>32</xdr:col>
          <xdr:colOff>0</xdr:colOff>
          <xdr:row>44</xdr:row>
          <xdr:rowOff>0</xdr:rowOff>
        </xdr:to>
        <xdr:sp macro="" textlink="">
          <xdr:nvSpPr>
            <xdr:cNvPr id="18447" name="Button 15" hidden="1">
              <a:extLst>
                <a:ext uri="{63B3BB69-23CF-44E3-9099-C40C66FF867C}">
                  <a14:compatExt spid="_x0000_s18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DB設計書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0</xdr:rowOff>
        </xdr:from>
        <xdr:to>
          <xdr:col>6</xdr:col>
          <xdr:colOff>9525</xdr:colOff>
          <xdr:row>2</xdr:row>
          <xdr:rowOff>0</xdr:rowOff>
        </xdr:to>
        <xdr:sp macro="" textlink="">
          <xdr:nvSpPr>
            <xdr:cNvPr id="18449" name="Button 17" hidden="1">
              <a:extLst>
                <a:ext uri="{63B3BB69-23CF-44E3-9099-C40C66FF867C}">
                  <a14:compatExt spid="_x0000_s18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今月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0</xdr:rowOff>
        </xdr:from>
        <xdr:to>
          <xdr:col>8</xdr:col>
          <xdr:colOff>19050</xdr:colOff>
          <xdr:row>1</xdr:row>
          <xdr:rowOff>152400</xdr:rowOff>
        </xdr:to>
        <xdr:sp macro="" textlink="">
          <xdr:nvSpPr>
            <xdr:cNvPr id="18451" name="Button 19" hidden="1">
              <a:extLst>
                <a:ext uri="{63B3BB69-23CF-44E3-9099-C40C66FF867C}">
                  <a14:compatExt spid="_x0000_s18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来月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171450</xdr:colOff>
          <xdr:row>41</xdr:row>
          <xdr:rowOff>66675</xdr:rowOff>
        </xdr:from>
        <xdr:to>
          <xdr:col>23</xdr:col>
          <xdr:colOff>171450</xdr:colOff>
          <xdr:row>43</xdr:row>
          <xdr:rowOff>142875</xdr:rowOff>
        </xdr:to>
        <xdr:sp macro="" textlink="">
          <xdr:nvSpPr>
            <xdr:cNvPr id="18452" name="Button 20" hidden="1">
              <a:extLst>
                <a:ext uri="{63B3BB69-23CF-44E3-9099-C40C66FF867C}">
                  <a14:compatExt spid="_x0000_s18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ページ数カウント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47</xdr:row>
          <xdr:rowOff>0</xdr:rowOff>
        </xdr:from>
        <xdr:to>
          <xdr:col>8</xdr:col>
          <xdr:colOff>0</xdr:colOff>
          <xdr:row>49</xdr:row>
          <xdr:rowOff>0</xdr:rowOff>
        </xdr:to>
        <xdr:sp macro="" textlink="">
          <xdr:nvSpPr>
            <xdr:cNvPr id="18453" name="Button 21" hidden="1">
              <a:extLst>
                <a:ext uri="{63B3BB69-23CF-44E3-9099-C40C66FF867C}">
                  <a14:compatExt spid="_x0000_s18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要件定義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8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13" Type="http://schemas.openxmlformats.org/officeDocument/2006/relationships/ctrlProp" Target="../ctrlProps/ctrlProp41.xml"/><Relationship Id="rId18" Type="http://schemas.openxmlformats.org/officeDocument/2006/relationships/ctrlProp" Target="../ctrlProps/ctrlProp4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35.xml"/><Relationship Id="rId12" Type="http://schemas.openxmlformats.org/officeDocument/2006/relationships/ctrlProp" Target="../ctrlProps/ctrlProp40.xml"/><Relationship Id="rId17" Type="http://schemas.openxmlformats.org/officeDocument/2006/relationships/ctrlProp" Target="../ctrlProps/ctrlProp4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4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4.xml"/><Relationship Id="rId11" Type="http://schemas.openxmlformats.org/officeDocument/2006/relationships/ctrlProp" Target="../ctrlProps/ctrlProp39.xml"/><Relationship Id="rId5" Type="http://schemas.openxmlformats.org/officeDocument/2006/relationships/ctrlProp" Target="../ctrlProps/ctrlProp33.xml"/><Relationship Id="rId15" Type="http://schemas.openxmlformats.org/officeDocument/2006/relationships/ctrlProp" Target="../ctrlProps/ctrlProp43.xml"/><Relationship Id="rId10" Type="http://schemas.openxmlformats.org/officeDocument/2006/relationships/ctrlProp" Target="../ctrlProps/ctrlProp38.xml"/><Relationship Id="rId19" Type="http://schemas.openxmlformats.org/officeDocument/2006/relationships/ctrlProp" Target="../ctrlProps/ctrlProp47.xml"/><Relationship Id="rId4" Type="http://schemas.openxmlformats.org/officeDocument/2006/relationships/ctrlProp" Target="../ctrlProps/ctrlProp32.xml"/><Relationship Id="rId9" Type="http://schemas.openxmlformats.org/officeDocument/2006/relationships/ctrlProp" Target="../ctrlProps/ctrlProp37.xml"/><Relationship Id="rId14" Type="http://schemas.openxmlformats.org/officeDocument/2006/relationships/ctrlProp" Target="../ctrlProps/ctrlProp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ata">
    <pageSetUpPr fitToPage="1"/>
  </sheetPr>
  <dimension ref="A1:V69"/>
  <sheetViews>
    <sheetView tabSelected="1" workbookViewId="0"/>
  </sheetViews>
  <sheetFormatPr defaultColWidth="2.7109375" defaultRowHeight="13.5" customHeight="1"/>
  <cols>
    <col min="1" max="1" width="12.7109375" style="7" customWidth="1"/>
    <col min="2" max="11" width="10.7109375" style="7" customWidth="1"/>
    <col min="12" max="12" width="2.7109375" style="7"/>
    <col min="13" max="13" width="8.7109375" style="7" customWidth="1"/>
    <col min="14" max="17" width="6.7109375" style="7" customWidth="1"/>
    <col min="18" max="18" width="2.7109375" style="7"/>
    <col min="19" max="19" width="12.7109375" style="7" customWidth="1"/>
    <col min="20" max="20" width="6.7109375" style="7" customWidth="1"/>
    <col min="21" max="21" width="2.7109375" style="7"/>
    <col min="22" max="22" width="18.7109375" style="7" customWidth="1"/>
    <col min="23" max="16384" width="2.7109375" style="7"/>
  </cols>
  <sheetData>
    <row r="1" spans="1:22" ht="13.5" customHeight="1">
      <c r="A1" s="26" t="s">
        <v>30</v>
      </c>
      <c r="B1" s="39" t="s">
        <v>20</v>
      </c>
      <c r="C1" s="39" t="str">
        <f>LEFT(B1,4)+1 &amp; "年"</f>
        <v>2015年</v>
      </c>
      <c r="D1" s="39" t="str">
        <f t="shared" ref="D1:G1" si="0">LEFT(C1,4)+1 &amp; "年"</f>
        <v>2016年</v>
      </c>
      <c r="E1" s="39" t="str">
        <f t="shared" si="0"/>
        <v>2017年</v>
      </c>
      <c r="F1" s="39" t="str">
        <f t="shared" si="0"/>
        <v>2018年</v>
      </c>
      <c r="G1" s="39" t="str">
        <f t="shared" si="0"/>
        <v>2019年</v>
      </c>
      <c r="H1" s="39" t="str">
        <f t="shared" ref="H1" si="1">LEFT(G1,4)+1 &amp; "年"</f>
        <v>2020年</v>
      </c>
      <c r="I1" s="39" t="str">
        <f t="shared" ref="I1" si="2">LEFT(H1,4)+1 &amp; "年"</f>
        <v>2021年</v>
      </c>
      <c r="J1" s="39" t="str">
        <f t="shared" ref="J1:K1" si="3">LEFT(I1,4)+1 &amp; "年"</f>
        <v>2022年</v>
      </c>
      <c r="K1" s="39" t="str">
        <f t="shared" si="3"/>
        <v>2023年</v>
      </c>
      <c r="M1" s="26" t="s">
        <v>31</v>
      </c>
      <c r="N1" s="28" t="s">
        <v>59</v>
      </c>
      <c r="O1" s="29"/>
      <c r="P1" s="28" t="s">
        <v>51</v>
      </c>
      <c r="Q1" s="29"/>
      <c r="S1" s="26" t="s">
        <v>3</v>
      </c>
      <c r="T1" s="26" t="s">
        <v>59</v>
      </c>
      <c r="V1" s="26" t="s">
        <v>10</v>
      </c>
    </row>
    <row r="2" spans="1:22" ht="13.5" customHeight="1">
      <c r="A2" s="27"/>
      <c r="B2" s="40" t="str">
        <f>TEXT(DATE(LEFT(B1,4),1,1),"(ggge年)")</f>
        <v>(平成26年)</v>
      </c>
      <c r="C2" s="40" t="str">
        <f t="shared" ref="C2:K2" si="4">TEXT(DATE(LEFT(C1,4),1,1),"(ggge年)")</f>
        <v>(平成27年)</v>
      </c>
      <c r="D2" s="40" t="str">
        <f t="shared" si="4"/>
        <v>(平成28年)</v>
      </c>
      <c r="E2" s="40" t="str">
        <f t="shared" si="4"/>
        <v>(平成29年)</v>
      </c>
      <c r="F2" s="40" t="str">
        <f t="shared" si="4"/>
        <v>(平成30年)</v>
      </c>
      <c r="G2" s="40" t="str">
        <f t="shared" si="4"/>
        <v>(平成31年)</v>
      </c>
      <c r="H2" s="40" t="str">
        <f t="shared" si="4"/>
        <v>(平成32年)</v>
      </c>
      <c r="I2" s="40" t="str">
        <f t="shared" si="4"/>
        <v>(平成33年)</v>
      </c>
      <c r="J2" s="40" t="str">
        <f t="shared" si="4"/>
        <v>(平成34年)</v>
      </c>
      <c r="K2" s="40" t="str">
        <f t="shared" si="4"/>
        <v>(平成35年)</v>
      </c>
      <c r="M2" s="27"/>
      <c r="N2" s="11" t="s">
        <v>7</v>
      </c>
      <c r="O2" s="11" t="s">
        <v>8</v>
      </c>
      <c r="P2" s="11" t="s">
        <v>7</v>
      </c>
      <c r="Q2" s="11" t="s">
        <v>8</v>
      </c>
      <c r="S2" s="27"/>
      <c r="T2" s="27" t="s">
        <v>60</v>
      </c>
      <c r="V2" s="27"/>
    </row>
    <row r="3" spans="1:22" ht="13.5" customHeight="1">
      <c r="A3" s="8" t="s">
        <v>17</v>
      </c>
      <c r="B3" s="9">
        <f t="shared" ref="B3:G3" si="5">DATE(LEFT(B1,4),1,1)</f>
        <v>41640</v>
      </c>
      <c r="C3" s="9">
        <f t="shared" si="5"/>
        <v>42005</v>
      </c>
      <c r="D3" s="9">
        <f t="shared" si="5"/>
        <v>42370</v>
      </c>
      <c r="E3" s="9">
        <f t="shared" si="5"/>
        <v>42736</v>
      </c>
      <c r="F3" s="9">
        <f t="shared" si="5"/>
        <v>43101</v>
      </c>
      <c r="G3" s="9">
        <f t="shared" si="5"/>
        <v>43466</v>
      </c>
      <c r="H3" s="9">
        <f t="shared" ref="H3:K3" si="6">DATE(LEFT(H1,4),1,1)</f>
        <v>43831</v>
      </c>
      <c r="I3" s="9">
        <f t="shared" si="6"/>
        <v>44197</v>
      </c>
      <c r="J3" s="9">
        <f t="shared" si="6"/>
        <v>44562</v>
      </c>
      <c r="K3" s="9">
        <f t="shared" si="6"/>
        <v>44927</v>
      </c>
      <c r="M3" s="8" t="s">
        <v>32</v>
      </c>
      <c r="N3" s="12">
        <v>0.5</v>
      </c>
      <c r="O3" s="12">
        <v>0.54166666666666663</v>
      </c>
      <c r="P3" s="12">
        <v>0.5</v>
      </c>
      <c r="Q3" s="12">
        <v>0.54166666666666663</v>
      </c>
      <c r="S3" s="46" t="s">
        <v>71</v>
      </c>
      <c r="T3" s="8" t="s">
        <v>51</v>
      </c>
      <c r="V3" s="8" t="s">
        <v>78</v>
      </c>
    </row>
    <row r="4" spans="1:22" ht="13.5" customHeight="1">
      <c r="A4" s="10" t="s">
        <v>40</v>
      </c>
      <c r="B4" s="9">
        <f t="shared" ref="B4:G4" si="7">DATE(LEFT(B1,4),1,2)</f>
        <v>41641</v>
      </c>
      <c r="C4" s="9">
        <f t="shared" si="7"/>
        <v>42006</v>
      </c>
      <c r="D4" s="9">
        <f t="shared" si="7"/>
        <v>42371</v>
      </c>
      <c r="E4" s="9">
        <f t="shared" si="7"/>
        <v>42737</v>
      </c>
      <c r="F4" s="9">
        <f t="shared" si="7"/>
        <v>43102</v>
      </c>
      <c r="G4" s="9">
        <f t="shared" si="7"/>
        <v>43467</v>
      </c>
      <c r="H4" s="9">
        <f t="shared" ref="H4:K4" si="8">DATE(LEFT(H1,4),1,2)</f>
        <v>43832</v>
      </c>
      <c r="I4" s="9">
        <f t="shared" si="8"/>
        <v>44198</v>
      </c>
      <c r="J4" s="9">
        <f t="shared" si="8"/>
        <v>44563</v>
      </c>
      <c r="K4" s="9">
        <f t="shared" si="8"/>
        <v>44928</v>
      </c>
      <c r="M4" s="8" t="s">
        <v>33</v>
      </c>
      <c r="N4" s="12">
        <v>0.79166666666666663</v>
      </c>
      <c r="O4" s="12">
        <v>0.8125</v>
      </c>
      <c r="P4" s="12"/>
      <c r="Q4" s="12"/>
      <c r="S4" s="46" t="s">
        <v>72</v>
      </c>
      <c r="T4" s="8" t="s">
        <v>51</v>
      </c>
      <c r="V4" s="8" t="s">
        <v>79</v>
      </c>
    </row>
    <row r="5" spans="1:22" ht="13.5" customHeight="1">
      <c r="A5" s="10" t="s">
        <v>40</v>
      </c>
      <c r="B5" s="9">
        <f t="shared" ref="B5:G5" si="9">DATE(LEFT(B1,4),1,3)</f>
        <v>41642</v>
      </c>
      <c r="C5" s="9">
        <f t="shared" si="9"/>
        <v>42007</v>
      </c>
      <c r="D5" s="9">
        <f t="shared" si="9"/>
        <v>42372</v>
      </c>
      <c r="E5" s="9">
        <f t="shared" si="9"/>
        <v>42738</v>
      </c>
      <c r="F5" s="9">
        <f t="shared" si="9"/>
        <v>43103</v>
      </c>
      <c r="G5" s="9">
        <f t="shared" si="9"/>
        <v>43468</v>
      </c>
      <c r="H5" s="9">
        <f t="shared" ref="H5:K5" si="10">DATE(LEFT(H1,4),1,3)</f>
        <v>43833</v>
      </c>
      <c r="I5" s="9">
        <f t="shared" si="10"/>
        <v>44199</v>
      </c>
      <c r="J5" s="9">
        <f t="shared" si="10"/>
        <v>44564</v>
      </c>
      <c r="K5" s="9">
        <f t="shared" si="10"/>
        <v>44929</v>
      </c>
      <c r="M5" s="8" t="s">
        <v>34</v>
      </c>
      <c r="N5" s="12">
        <v>0</v>
      </c>
      <c r="O5" s="12">
        <v>4.1666666666666664E-2</v>
      </c>
      <c r="P5" s="12"/>
      <c r="Q5" s="12"/>
      <c r="S5" s="46" t="s">
        <v>73</v>
      </c>
      <c r="T5" s="8" t="s">
        <v>51</v>
      </c>
      <c r="V5" s="8" t="s">
        <v>80</v>
      </c>
    </row>
    <row r="6" spans="1:22" ht="13.5" customHeight="1">
      <c r="A6" s="15" t="s">
        <v>16</v>
      </c>
      <c r="B6" s="9">
        <f t="shared" ref="B6:G6" si="11">getWhatWeekDay(LEFT(B1,4),1,2,2)</f>
        <v>41652</v>
      </c>
      <c r="C6" s="9">
        <f t="shared" si="11"/>
        <v>42016</v>
      </c>
      <c r="D6" s="9">
        <f t="shared" si="11"/>
        <v>42380</v>
      </c>
      <c r="E6" s="9">
        <f t="shared" si="11"/>
        <v>42744</v>
      </c>
      <c r="F6" s="9">
        <f t="shared" si="11"/>
        <v>43108</v>
      </c>
      <c r="G6" s="9">
        <f t="shared" si="11"/>
        <v>43479</v>
      </c>
      <c r="H6" s="9">
        <f t="shared" ref="H6:K6" si="12">getWhatWeekDay(LEFT(H1,4),1,2,2)</f>
        <v>43843</v>
      </c>
      <c r="I6" s="9">
        <f t="shared" si="12"/>
        <v>44207</v>
      </c>
      <c r="J6" s="9">
        <f t="shared" si="12"/>
        <v>44571</v>
      </c>
      <c r="K6" s="9">
        <f t="shared" si="12"/>
        <v>44935</v>
      </c>
      <c r="M6" s="8" t="s">
        <v>36</v>
      </c>
      <c r="N6" s="12">
        <v>0.20833333333333334</v>
      </c>
      <c r="O6" s="12">
        <v>0.25</v>
      </c>
      <c r="P6" s="12"/>
      <c r="Q6" s="12"/>
      <c r="S6" s="46" t="s">
        <v>74</v>
      </c>
      <c r="T6" s="8" t="s">
        <v>69</v>
      </c>
      <c r="V6" s="8" t="s">
        <v>81</v>
      </c>
    </row>
    <row r="7" spans="1:22" ht="13.5" customHeight="1">
      <c r="A7" s="15" t="s">
        <v>18</v>
      </c>
      <c r="B7" s="16">
        <f t="shared" ref="B7:G7" si="13">DATE(LEFT(B1,4),2,11)</f>
        <v>41681</v>
      </c>
      <c r="C7" s="16">
        <f t="shared" si="13"/>
        <v>42046</v>
      </c>
      <c r="D7" s="16">
        <f t="shared" si="13"/>
        <v>42411</v>
      </c>
      <c r="E7" s="16">
        <f t="shared" si="13"/>
        <v>42777</v>
      </c>
      <c r="F7" s="16">
        <f t="shared" si="13"/>
        <v>43142</v>
      </c>
      <c r="G7" s="16">
        <f t="shared" si="13"/>
        <v>43507</v>
      </c>
      <c r="H7" s="16">
        <f t="shared" ref="H7:K7" si="14">DATE(LEFT(H1,4),2,11)</f>
        <v>43872</v>
      </c>
      <c r="I7" s="16">
        <f t="shared" si="14"/>
        <v>44238</v>
      </c>
      <c r="J7" s="16">
        <f t="shared" si="14"/>
        <v>44603</v>
      </c>
      <c r="K7" s="16">
        <f t="shared" si="14"/>
        <v>44968</v>
      </c>
      <c r="L7" s="17"/>
      <c r="M7" s="8" t="s">
        <v>37</v>
      </c>
      <c r="N7" s="12"/>
      <c r="O7" s="12"/>
      <c r="P7" s="12"/>
      <c r="Q7" s="12"/>
      <c r="R7" s="17"/>
      <c r="S7" s="48" t="s">
        <v>75</v>
      </c>
      <c r="T7" s="8" t="s">
        <v>59</v>
      </c>
      <c r="V7" s="8" t="s">
        <v>82</v>
      </c>
    </row>
    <row r="8" spans="1:22" ht="13.5" customHeight="1">
      <c r="A8" s="10" t="s">
        <v>14</v>
      </c>
      <c r="B8" s="16">
        <f t="shared" ref="B8:G8" si="15">IF(WEEKDAY(B7)=1,B7+1,B7)</f>
        <v>41681</v>
      </c>
      <c r="C8" s="16">
        <f t="shared" si="15"/>
        <v>42046</v>
      </c>
      <c r="D8" s="16">
        <f t="shared" si="15"/>
        <v>42411</v>
      </c>
      <c r="E8" s="16">
        <f t="shared" si="15"/>
        <v>42777</v>
      </c>
      <c r="F8" s="16">
        <f t="shared" si="15"/>
        <v>43143</v>
      </c>
      <c r="G8" s="16">
        <f t="shared" si="15"/>
        <v>43507</v>
      </c>
      <c r="H8" s="16">
        <f t="shared" ref="H8:K8" si="16">IF(WEEKDAY(H7)=1,H7+1,H7)</f>
        <v>43872</v>
      </c>
      <c r="I8" s="16">
        <f t="shared" si="16"/>
        <v>44238</v>
      </c>
      <c r="J8" s="16">
        <f t="shared" si="16"/>
        <v>44603</v>
      </c>
      <c r="K8" s="16">
        <f t="shared" si="16"/>
        <v>44968</v>
      </c>
      <c r="L8" s="17"/>
      <c r="M8" s="8" t="s">
        <v>38</v>
      </c>
      <c r="N8" s="12"/>
      <c r="O8" s="12"/>
      <c r="P8" s="12"/>
      <c r="Q8" s="12"/>
      <c r="R8" s="17"/>
      <c r="S8" s="48" t="s">
        <v>76</v>
      </c>
      <c r="T8" s="8" t="s">
        <v>59</v>
      </c>
      <c r="V8" s="8" t="s">
        <v>83</v>
      </c>
    </row>
    <row r="9" spans="1:22" ht="13.5" customHeight="1">
      <c r="A9" s="15" t="s">
        <v>19</v>
      </c>
      <c r="B9" s="16">
        <f t="shared" ref="B9:G9" si="17">DATE(LEFT(B1,4),3,INT(20.8431+0.242194*(LEFT(B1,4)-1980)-INT((LEFT(B1,4)-1980)/4)))</f>
        <v>41719</v>
      </c>
      <c r="C9" s="16">
        <f t="shared" si="17"/>
        <v>42084</v>
      </c>
      <c r="D9" s="16">
        <f t="shared" si="17"/>
        <v>42449</v>
      </c>
      <c r="E9" s="16">
        <f t="shared" si="17"/>
        <v>42814</v>
      </c>
      <c r="F9" s="16">
        <f t="shared" si="17"/>
        <v>43180</v>
      </c>
      <c r="G9" s="16">
        <f t="shared" si="17"/>
        <v>43545</v>
      </c>
      <c r="H9" s="16">
        <f t="shared" ref="H9:K9" si="18">DATE(LEFT(H1,4),3,INT(20.8431+0.242194*(LEFT(H1,4)-1980)-INT((LEFT(H1,4)-1980)/4)))</f>
        <v>43910</v>
      </c>
      <c r="I9" s="16">
        <f t="shared" si="18"/>
        <v>44275</v>
      </c>
      <c r="J9" s="16">
        <f t="shared" si="18"/>
        <v>44641</v>
      </c>
      <c r="K9" s="16">
        <f t="shared" si="18"/>
        <v>45006</v>
      </c>
      <c r="L9" s="17"/>
      <c r="M9" s="17"/>
      <c r="N9" s="17"/>
      <c r="O9" s="17"/>
      <c r="P9" s="17"/>
      <c r="Q9" s="17"/>
      <c r="R9" s="17"/>
      <c r="S9" s="48" t="s">
        <v>77</v>
      </c>
      <c r="T9" s="15" t="s">
        <v>59</v>
      </c>
      <c r="V9" s="8" t="s">
        <v>84</v>
      </c>
    </row>
    <row r="10" spans="1:22" ht="13.5" customHeight="1">
      <c r="A10" s="10" t="s">
        <v>14</v>
      </c>
      <c r="B10" s="16">
        <f t="shared" ref="B10:G10" si="19">IF(WEEKDAY(B9)=1,B9+1,B9)</f>
        <v>41719</v>
      </c>
      <c r="C10" s="16">
        <f t="shared" si="19"/>
        <v>42084</v>
      </c>
      <c r="D10" s="16">
        <f t="shared" si="19"/>
        <v>42450</v>
      </c>
      <c r="E10" s="16">
        <f t="shared" si="19"/>
        <v>42814</v>
      </c>
      <c r="F10" s="16">
        <f t="shared" si="19"/>
        <v>43180</v>
      </c>
      <c r="G10" s="16">
        <f t="shared" si="19"/>
        <v>43545</v>
      </c>
      <c r="H10" s="16">
        <f t="shared" ref="H10:K10" si="20">IF(WEEKDAY(H9)=1,H9+1,H9)</f>
        <v>43910</v>
      </c>
      <c r="I10" s="16">
        <f t="shared" si="20"/>
        <v>44275</v>
      </c>
      <c r="J10" s="16">
        <f t="shared" si="20"/>
        <v>44641</v>
      </c>
      <c r="K10" s="16">
        <f t="shared" si="20"/>
        <v>45006</v>
      </c>
      <c r="L10" s="17"/>
      <c r="M10" s="17"/>
      <c r="N10" s="17"/>
      <c r="O10" s="17"/>
      <c r="P10" s="17"/>
      <c r="Q10" s="17"/>
      <c r="R10" s="17"/>
      <c r="S10" s="17"/>
      <c r="T10" s="17"/>
      <c r="V10" s="46" t="s">
        <v>85</v>
      </c>
    </row>
    <row r="11" spans="1:22" ht="13.5" customHeight="1">
      <c r="A11" s="15" t="s">
        <v>21</v>
      </c>
      <c r="B11" s="16">
        <f t="shared" ref="B11:G11" si="21">DATE(LEFT(B1,4),4,29)</f>
        <v>41758</v>
      </c>
      <c r="C11" s="16">
        <f t="shared" si="21"/>
        <v>42123</v>
      </c>
      <c r="D11" s="16">
        <f t="shared" si="21"/>
        <v>42489</v>
      </c>
      <c r="E11" s="16">
        <f t="shared" si="21"/>
        <v>42854</v>
      </c>
      <c r="F11" s="16">
        <f t="shared" si="21"/>
        <v>43219</v>
      </c>
      <c r="G11" s="16">
        <f t="shared" si="21"/>
        <v>43584</v>
      </c>
      <c r="H11" s="16">
        <f t="shared" ref="H11:K11" si="22">DATE(LEFT(H1,4),4,29)</f>
        <v>43950</v>
      </c>
      <c r="I11" s="16">
        <f t="shared" si="22"/>
        <v>44315</v>
      </c>
      <c r="J11" s="16">
        <f t="shared" si="22"/>
        <v>44680</v>
      </c>
      <c r="K11" s="16">
        <f t="shared" si="22"/>
        <v>45045</v>
      </c>
      <c r="L11" s="17"/>
      <c r="M11" s="17"/>
      <c r="N11" s="17"/>
      <c r="O11" s="17"/>
      <c r="P11" s="17"/>
      <c r="Q11" s="17"/>
      <c r="R11" s="17"/>
      <c r="S11" s="17"/>
      <c r="T11" s="17"/>
      <c r="V11" s="48" t="s">
        <v>86</v>
      </c>
    </row>
    <row r="12" spans="1:22" ht="13.5" customHeight="1">
      <c r="A12" s="10" t="s">
        <v>14</v>
      </c>
      <c r="B12" s="16">
        <f t="shared" ref="B12:G12" si="23">IF(WEEKDAY(B11)=1,B11+1,B11)</f>
        <v>41758</v>
      </c>
      <c r="C12" s="16">
        <f t="shared" si="23"/>
        <v>42123</v>
      </c>
      <c r="D12" s="16">
        <f t="shared" si="23"/>
        <v>42489</v>
      </c>
      <c r="E12" s="16">
        <f t="shared" si="23"/>
        <v>42854</v>
      </c>
      <c r="F12" s="16">
        <f t="shared" si="23"/>
        <v>43220</v>
      </c>
      <c r="G12" s="16">
        <f t="shared" si="23"/>
        <v>43584</v>
      </c>
      <c r="H12" s="16">
        <f t="shared" ref="H12:K12" si="24">IF(WEEKDAY(H11)=1,H11+1,H11)</f>
        <v>43950</v>
      </c>
      <c r="I12" s="16">
        <f t="shared" si="24"/>
        <v>44315</v>
      </c>
      <c r="J12" s="16">
        <f t="shared" si="24"/>
        <v>44680</v>
      </c>
      <c r="K12" s="16">
        <f t="shared" si="24"/>
        <v>45045</v>
      </c>
      <c r="L12" s="17"/>
      <c r="M12" s="17"/>
      <c r="N12" s="17"/>
      <c r="O12" s="17"/>
      <c r="P12" s="17"/>
      <c r="Q12" s="17"/>
      <c r="R12" s="17"/>
      <c r="S12" s="17"/>
      <c r="T12" s="17"/>
      <c r="V12" s="48" t="s">
        <v>87</v>
      </c>
    </row>
    <row r="13" spans="1:22" ht="13.5" customHeight="1">
      <c r="A13" s="15" t="s">
        <v>22</v>
      </c>
      <c r="B13" s="16">
        <f t="shared" ref="B13:G13" si="25">DATE(LEFT(B1,4),5,3)</f>
        <v>41762</v>
      </c>
      <c r="C13" s="16">
        <f t="shared" si="25"/>
        <v>42127</v>
      </c>
      <c r="D13" s="16">
        <f t="shared" si="25"/>
        <v>42493</v>
      </c>
      <c r="E13" s="16">
        <f t="shared" si="25"/>
        <v>42858</v>
      </c>
      <c r="F13" s="16">
        <f t="shared" si="25"/>
        <v>43223</v>
      </c>
      <c r="G13" s="16">
        <f t="shared" si="25"/>
        <v>43588</v>
      </c>
      <c r="H13" s="16">
        <f t="shared" ref="H13:K13" si="26">DATE(LEFT(H1,4),5,3)</f>
        <v>43954</v>
      </c>
      <c r="I13" s="16">
        <f t="shared" si="26"/>
        <v>44319</v>
      </c>
      <c r="J13" s="16">
        <f t="shared" si="26"/>
        <v>44684</v>
      </c>
      <c r="K13" s="16">
        <f t="shared" si="26"/>
        <v>45049</v>
      </c>
      <c r="L13" s="17"/>
      <c r="M13" s="17"/>
      <c r="N13" s="17"/>
      <c r="O13" s="17"/>
      <c r="P13" s="17"/>
      <c r="Q13" s="17"/>
      <c r="R13" s="17"/>
      <c r="S13" s="17"/>
      <c r="T13" s="17"/>
      <c r="V13" s="48" t="s">
        <v>88</v>
      </c>
    </row>
    <row r="14" spans="1:22" ht="13.5" customHeight="1">
      <c r="A14" s="15" t="s">
        <v>23</v>
      </c>
      <c r="B14" s="16">
        <f t="shared" ref="B14:G14" si="27">DATE(LEFT(B1,4),5,4)</f>
        <v>41763</v>
      </c>
      <c r="C14" s="16">
        <f t="shared" si="27"/>
        <v>42128</v>
      </c>
      <c r="D14" s="16">
        <f t="shared" si="27"/>
        <v>42494</v>
      </c>
      <c r="E14" s="16">
        <f t="shared" si="27"/>
        <v>42859</v>
      </c>
      <c r="F14" s="16">
        <f t="shared" si="27"/>
        <v>43224</v>
      </c>
      <c r="G14" s="16">
        <f t="shared" si="27"/>
        <v>43589</v>
      </c>
      <c r="H14" s="16">
        <f t="shared" ref="H14:K14" si="28">DATE(LEFT(H1,4),5,4)</f>
        <v>43955</v>
      </c>
      <c r="I14" s="16">
        <f t="shared" si="28"/>
        <v>44320</v>
      </c>
      <c r="J14" s="16">
        <f t="shared" si="28"/>
        <v>44685</v>
      </c>
      <c r="K14" s="16">
        <f t="shared" si="28"/>
        <v>45050</v>
      </c>
      <c r="L14" s="17"/>
      <c r="M14" s="17"/>
      <c r="N14" s="17"/>
      <c r="O14" s="17"/>
      <c r="P14" s="17"/>
      <c r="Q14" s="17"/>
      <c r="R14" s="17"/>
      <c r="S14" s="17"/>
      <c r="T14" s="17"/>
      <c r="V14" s="48" t="s">
        <v>89</v>
      </c>
    </row>
    <row r="15" spans="1:22" ht="13.5" customHeight="1">
      <c r="A15" s="15" t="s">
        <v>24</v>
      </c>
      <c r="B15" s="16">
        <f t="shared" ref="B15:G15" si="29">DATE(LEFT(B1,4),5,5)</f>
        <v>41764</v>
      </c>
      <c r="C15" s="16">
        <f t="shared" si="29"/>
        <v>42129</v>
      </c>
      <c r="D15" s="16">
        <f t="shared" si="29"/>
        <v>42495</v>
      </c>
      <c r="E15" s="16">
        <f t="shared" si="29"/>
        <v>42860</v>
      </c>
      <c r="F15" s="16">
        <f t="shared" si="29"/>
        <v>43225</v>
      </c>
      <c r="G15" s="16">
        <f t="shared" si="29"/>
        <v>43590</v>
      </c>
      <c r="H15" s="16">
        <f t="shared" ref="H15:K15" si="30">DATE(LEFT(H1,4),5,5)</f>
        <v>43956</v>
      </c>
      <c r="I15" s="16">
        <f t="shared" si="30"/>
        <v>44321</v>
      </c>
      <c r="J15" s="16">
        <f t="shared" si="30"/>
        <v>44686</v>
      </c>
      <c r="K15" s="16">
        <f t="shared" si="30"/>
        <v>45051</v>
      </c>
      <c r="L15" s="17"/>
      <c r="M15" s="17"/>
      <c r="N15" s="17"/>
      <c r="O15" s="17"/>
      <c r="P15" s="17"/>
      <c r="Q15" s="17"/>
      <c r="R15" s="17"/>
      <c r="S15" s="17"/>
      <c r="T15" s="17"/>
    </row>
    <row r="16" spans="1:22" ht="13.5" customHeight="1">
      <c r="A16" s="10" t="s">
        <v>14</v>
      </c>
      <c r="B16" s="16">
        <f t="shared" ref="B16:G16" si="31">IF(OR(WEEKDAY(B13)=1,WEEKDAY(B14)=1,WEEKDAY(B15)=1),B15+1,B15)</f>
        <v>41765</v>
      </c>
      <c r="C16" s="16">
        <f t="shared" si="31"/>
        <v>42130</v>
      </c>
      <c r="D16" s="16">
        <f t="shared" si="31"/>
        <v>42495</v>
      </c>
      <c r="E16" s="16">
        <f t="shared" si="31"/>
        <v>42860</v>
      </c>
      <c r="F16" s="16">
        <f t="shared" si="31"/>
        <v>43225</v>
      </c>
      <c r="G16" s="16">
        <f t="shared" si="31"/>
        <v>43591</v>
      </c>
      <c r="H16" s="16">
        <f t="shared" ref="H16:K16" si="32">IF(OR(WEEKDAY(H13)=1,WEEKDAY(H14)=1,WEEKDAY(H15)=1),H15+1,H15)</f>
        <v>43957</v>
      </c>
      <c r="I16" s="16">
        <f t="shared" si="32"/>
        <v>44321</v>
      </c>
      <c r="J16" s="16">
        <f t="shared" si="32"/>
        <v>44686</v>
      </c>
      <c r="K16" s="16">
        <f t="shared" si="32"/>
        <v>45051</v>
      </c>
      <c r="L16" s="17"/>
      <c r="M16" s="17"/>
      <c r="N16" s="17"/>
      <c r="O16" s="17"/>
      <c r="P16" s="17"/>
      <c r="Q16" s="17"/>
      <c r="R16" s="17"/>
      <c r="S16" s="17"/>
      <c r="T16" s="17"/>
    </row>
    <row r="17" spans="1:20" ht="13.5" customHeight="1">
      <c r="A17" s="15" t="s">
        <v>25</v>
      </c>
      <c r="B17" s="16">
        <f t="shared" ref="B17:G17" si="33">getWhatWeekDay(LEFT(B1,4),7,3,2)</f>
        <v>41841</v>
      </c>
      <c r="C17" s="16">
        <f t="shared" si="33"/>
        <v>42205</v>
      </c>
      <c r="D17" s="16">
        <f t="shared" si="33"/>
        <v>42569</v>
      </c>
      <c r="E17" s="16">
        <f t="shared" si="33"/>
        <v>42933</v>
      </c>
      <c r="F17" s="16">
        <f t="shared" si="33"/>
        <v>43297</v>
      </c>
      <c r="G17" s="16">
        <f t="shared" si="33"/>
        <v>43661</v>
      </c>
      <c r="H17" s="16">
        <f t="shared" ref="H17:K17" si="34">getWhatWeekDay(LEFT(H1,4),7,3,2)</f>
        <v>44032</v>
      </c>
      <c r="I17" s="16">
        <f t="shared" si="34"/>
        <v>44396</v>
      </c>
      <c r="J17" s="16">
        <f t="shared" si="34"/>
        <v>44760</v>
      </c>
      <c r="K17" s="16">
        <f t="shared" si="34"/>
        <v>45124</v>
      </c>
      <c r="L17" s="17"/>
      <c r="M17" s="17"/>
      <c r="N17" s="17"/>
      <c r="O17" s="17"/>
      <c r="P17" s="17"/>
      <c r="Q17" s="17"/>
      <c r="R17" s="17"/>
      <c r="S17" s="17"/>
      <c r="T17" s="17"/>
    </row>
    <row r="18" spans="1:20" ht="13.5" customHeight="1">
      <c r="A18" s="15" t="s">
        <v>29</v>
      </c>
      <c r="B18" s="16">
        <f>B17</f>
        <v>41841</v>
      </c>
      <c r="C18" s="16">
        <f>C17</f>
        <v>42205</v>
      </c>
      <c r="D18" s="16">
        <f>DATE(LEFT(D1,4),8,11)</f>
        <v>42593</v>
      </c>
      <c r="E18" s="16">
        <f>DATE(LEFT(E1,4),8,11)</f>
        <v>42958</v>
      </c>
      <c r="F18" s="16">
        <f>DATE(LEFT(F1,4),8,11)</f>
        <v>43323</v>
      </c>
      <c r="G18" s="16">
        <f>DATE(LEFT(G1,4),8,11)</f>
        <v>43688</v>
      </c>
      <c r="H18" s="16">
        <f t="shared" ref="H18:J18" si="35">DATE(LEFT(H1,4),8,11)</f>
        <v>44054</v>
      </c>
      <c r="I18" s="16">
        <f t="shared" si="35"/>
        <v>44419</v>
      </c>
      <c r="J18" s="16">
        <f t="shared" si="35"/>
        <v>44784</v>
      </c>
      <c r="K18" s="16">
        <f>DATE(LEFT(K1,4),8,11)</f>
        <v>45149</v>
      </c>
      <c r="L18" s="17"/>
      <c r="M18" s="17"/>
      <c r="N18" s="17"/>
      <c r="O18" s="17"/>
      <c r="P18" s="17"/>
      <c r="Q18" s="17"/>
      <c r="R18" s="17"/>
      <c r="S18" s="17"/>
      <c r="T18" s="17"/>
    </row>
    <row r="19" spans="1:20" ht="13.5" customHeight="1">
      <c r="A19" s="15" t="s">
        <v>26</v>
      </c>
      <c r="B19" s="16">
        <f t="shared" ref="B19:G19" si="36">getWhatWeekDay(LEFT(B1,4),9,3,2)</f>
        <v>41897</v>
      </c>
      <c r="C19" s="16">
        <f t="shared" si="36"/>
        <v>42268</v>
      </c>
      <c r="D19" s="16">
        <f t="shared" si="36"/>
        <v>42632</v>
      </c>
      <c r="E19" s="16">
        <f t="shared" si="36"/>
        <v>42996</v>
      </c>
      <c r="F19" s="16">
        <f t="shared" si="36"/>
        <v>43360</v>
      </c>
      <c r="G19" s="16">
        <f t="shared" si="36"/>
        <v>43724</v>
      </c>
      <c r="H19" s="16">
        <f t="shared" ref="H19:K19" si="37">getWhatWeekDay(LEFT(H1,4),9,3,2)</f>
        <v>44095</v>
      </c>
      <c r="I19" s="16">
        <f t="shared" si="37"/>
        <v>44459</v>
      </c>
      <c r="J19" s="16">
        <f t="shared" si="37"/>
        <v>44823</v>
      </c>
      <c r="K19" s="16">
        <f t="shared" si="37"/>
        <v>45187</v>
      </c>
      <c r="L19" s="17"/>
      <c r="M19" s="17"/>
      <c r="N19" s="17"/>
      <c r="O19" s="17"/>
      <c r="P19" s="17"/>
      <c r="Q19" s="17"/>
      <c r="R19" s="17"/>
      <c r="S19" s="17"/>
      <c r="T19" s="17"/>
    </row>
    <row r="20" spans="1:20" ht="13.5" customHeight="1">
      <c r="A20" s="15" t="s">
        <v>27</v>
      </c>
      <c r="B20" s="16">
        <f t="shared" ref="B20:G20" si="38">IF(DATEDIF(B19,B21,"D")=2,B19+1,B19)</f>
        <v>41897</v>
      </c>
      <c r="C20" s="16">
        <f t="shared" si="38"/>
        <v>42269</v>
      </c>
      <c r="D20" s="16">
        <f t="shared" si="38"/>
        <v>42632</v>
      </c>
      <c r="E20" s="16">
        <f t="shared" si="38"/>
        <v>42996</v>
      </c>
      <c r="F20" s="16">
        <f t="shared" si="38"/>
        <v>43360</v>
      </c>
      <c r="G20" s="16">
        <f t="shared" si="38"/>
        <v>43724</v>
      </c>
      <c r="H20" s="16">
        <f t="shared" ref="H20:K20" si="39">IF(DATEDIF(H19,H21,"D")=2,H19+1,H19)</f>
        <v>44095</v>
      </c>
      <c r="I20" s="16">
        <f t="shared" si="39"/>
        <v>44459</v>
      </c>
      <c r="J20" s="16">
        <f t="shared" si="39"/>
        <v>44823</v>
      </c>
      <c r="K20" s="16">
        <f t="shared" si="39"/>
        <v>45187</v>
      </c>
      <c r="L20" s="17"/>
      <c r="M20" s="17"/>
      <c r="N20" s="17"/>
      <c r="O20" s="17"/>
      <c r="P20" s="17"/>
      <c r="Q20" s="17"/>
      <c r="R20" s="17"/>
      <c r="S20" s="17"/>
      <c r="T20" s="17"/>
    </row>
    <row r="21" spans="1:20" ht="13.5" customHeight="1">
      <c r="A21" s="15" t="s">
        <v>28</v>
      </c>
      <c r="B21" s="16">
        <f t="shared" ref="B21:G21" si="40">DATE(LEFT(B1,4),9,INT(23.2488+0.242194*(LEFT(B1,4)-1980))-INT((LEFT(B1,4)-1980)/4))</f>
        <v>41905</v>
      </c>
      <c r="C21" s="16">
        <f t="shared" si="40"/>
        <v>42270</v>
      </c>
      <c r="D21" s="16">
        <f t="shared" si="40"/>
        <v>42635</v>
      </c>
      <c r="E21" s="16">
        <f t="shared" si="40"/>
        <v>43001</v>
      </c>
      <c r="F21" s="16">
        <f t="shared" si="40"/>
        <v>43366</v>
      </c>
      <c r="G21" s="16">
        <f t="shared" si="40"/>
        <v>43731</v>
      </c>
      <c r="H21" s="16">
        <f t="shared" ref="H21:K21" si="41">DATE(LEFT(H1,4),9,INT(23.2488+0.242194*(LEFT(H1,4)-1980))-INT((LEFT(H1,4)-1980)/4))</f>
        <v>44096</v>
      </c>
      <c r="I21" s="16">
        <f t="shared" si="41"/>
        <v>44462</v>
      </c>
      <c r="J21" s="16">
        <f t="shared" si="41"/>
        <v>44827</v>
      </c>
      <c r="K21" s="16">
        <f t="shared" si="41"/>
        <v>45192</v>
      </c>
      <c r="L21" s="17"/>
      <c r="M21" s="17"/>
      <c r="N21" s="17"/>
      <c r="O21" s="17"/>
      <c r="P21" s="17"/>
      <c r="Q21" s="17"/>
      <c r="R21" s="17"/>
      <c r="S21" s="17"/>
      <c r="T21" s="17"/>
    </row>
    <row r="22" spans="1:20" ht="13.5" customHeight="1">
      <c r="A22" s="10" t="s">
        <v>14</v>
      </c>
      <c r="B22" s="16">
        <f t="shared" ref="B22:G22" si="42">IF(WEEKDAY(B21)=1,B21+1,B21)</f>
        <v>41905</v>
      </c>
      <c r="C22" s="16">
        <f t="shared" si="42"/>
        <v>42270</v>
      </c>
      <c r="D22" s="16">
        <f t="shared" si="42"/>
        <v>42635</v>
      </c>
      <c r="E22" s="16">
        <f t="shared" si="42"/>
        <v>43001</v>
      </c>
      <c r="F22" s="16">
        <f t="shared" si="42"/>
        <v>43367</v>
      </c>
      <c r="G22" s="16">
        <f t="shared" si="42"/>
        <v>43731</v>
      </c>
      <c r="H22" s="16">
        <f t="shared" ref="H22:K22" si="43">IF(WEEKDAY(H21)=1,H21+1,H21)</f>
        <v>44096</v>
      </c>
      <c r="I22" s="16">
        <f t="shared" si="43"/>
        <v>44462</v>
      </c>
      <c r="J22" s="16">
        <f t="shared" si="43"/>
        <v>44827</v>
      </c>
      <c r="K22" s="16">
        <f t="shared" si="43"/>
        <v>45192</v>
      </c>
      <c r="L22" s="17"/>
      <c r="M22" s="17"/>
      <c r="N22" s="17"/>
      <c r="O22" s="17"/>
      <c r="P22" s="17"/>
      <c r="Q22" s="17"/>
      <c r="R22" s="17"/>
      <c r="S22" s="17"/>
      <c r="T22" s="17"/>
    </row>
    <row r="23" spans="1:20" ht="13.5" customHeight="1">
      <c r="A23" s="15" t="s">
        <v>11</v>
      </c>
      <c r="B23" s="16">
        <f t="shared" ref="B23:G23" si="44">getWhatWeekDay(LEFT(B1,4),10,2,2)</f>
        <v>41925</v>
      </c>
      <c r="C23" s="16">
        <f t="shared" si="44"/>
        <v>42289</v>
      </c>
      <c r="D23" s="16">
        <f t="shared" si="44"/>
        <v>42653</v>
      </c>
      <c r="E23" s="16">
        <f t="shared" si="44"/>
        <v>43017</v>
      </c>
      <c r="F23" s="16">
        <f t="shared" si="44"/>
        <v>43381</v>
      </c>
      <c r="G23" s="16">
        <f t="shared" si="44"/>
        <v>43752</v>
      </c>
      <c r="H23" s="16">
        <f t="shared" ref="H23:K23" si="45">getWhatWeekDay(LEFT(H1,4),10,2,2)</f>
        <v>44116</v>
      </c>
      <c r="I23" s="16">
        <f t="shared" si="45"/>
        <v>44480</v>
      </c>
      <c r="J23" s="16">
        <f t="shared" si="45"/>
        <v>44844</v>
      </c>
      <c r="K23" s="16">
        <f t="shared" si="45"/>
        <v>45208</v>
      </c>
      <c r="L23" s="17"/>
      <c r="M23" s="17"/>
      <c r="N23" s="17"/>
      <c r="O23" s="17"/>
      <c r="P23" s="17"/>
      <c r="Q23" s="17"/>
      <c r="R23" s="17"/>
      <c r="S23" s="17"/>
      <c r="T23" s="17"/>
    </row>
    <row r="24" spans="1:20" ht="13.5" customHeight="1">
      <c r="A24" s="15" t="s">
        <v>12</v>
      </c>
      <c r="B24" s="16">
        <f t="shared" ref="B24:G24" si="46">DATE(LEFT(B1,4),11,3)</f>
        <v>41946</v>
      </c>
      <c r="C24" s="16">
        <f t="shared" si="46"/>
        <v>42311</v>
      </c>
      <c r="D24" s="16">
        <f t="shared" si="46"/>
        <v>42677</v>
      </c>
      <c r="E24" s="16">
        <f t="shared" si="46"/>
        <v>43042</v>
      </c>
      <c r="F24" s="16">
        <f t="shared" si="46"/>
        <v>43407</v>
      </c>
      <c r="G24" s="16">
        <f t="shared" si="46"/>
        <v>43772</v>
      </c>
      <c r="H24" s="16">
        <f t="shared" ref="H24:K24" si="47">DATE(LEFT(H1,4),11,3)</f>
        <v>44138</v>
      </c>
      <c r="I24" s="16">
        <f t="shared" si="47"/>
        <v>44503</v>
      </c>
      <c r="J24" s="16">
        <f t="shared" si="47"/>
        <v>44868</v>
      </c>
      <c r="K24" s="16">
        <f t="shared" si="47"/>
        <v>45233</v>
      </c>
      <c r="L24" s="17"/>
      <c r="M24" s="17"/>
      <c r="N24" s="17"/>
      <c r="O24" s="17"/>
      <c r="P24" s="17"/>
      <c r="Q24" s="17"/>
      <c r="R24" s="17"/>
      <c r="S24" s="17"/>
      <c r="T24" s="17"/>
    </row>
    <row r="25" spans="1:20" ht="13.5" customHeight="1">
      <c r="A25" s="10" t="s">
        <v>14</v>
      </c>
      <c r="B25" s="16">
        <f t="shared" ref="B25:G25" si="48">IF(WEEKDAY(B24)=1,B24+1,B24)</f>
        <v>41946</v>
      </c>
      <c r="C25" s="16">
        <f t="shared" si="48"/>
        <v>42311</v>
      </c>
      <c r="D25" s="16">
        <f t="shared" si="48"/>
        <v>42677</v>
      </c>
      <c r="E25" s="16">
        <f t="shared" si="48"/>
        <v>43042</v>
      </c>
      <c r="F25" s="16">
        <f t="shared" si="48"/>
        <v>43407</v>
      </c>
      <c r="G25" s="16">
        <f t="shared" si="48"/>
        <v>43773</v>
      </c>
      <c r="H25" s="16">
        <f t="shared" ref="H25:K25" si="49">IF(WEEKDAY(H24)=1,H24+1,H24)</f>
        <v>44138</v>
      </c>
      <c r="I25" s="16">
        <f t="shared" si="49"/>
        <v>44503</v>
      </c>
      <c r="J25" s="16">
        <f t="shared" si="49"/>
        <v>44868</v>
      </c>
      <c r="K25" s="16">
        <f t="shared" si="49"/>
        <v>45233</v>
      </c>
      <c r="L25" s="17"/>
      <c r="M25" s="17"/>
      <c r="N25" s="17"/>
      <c r="O25" s="17"/>
      <c r="P25" s="17"/>
      <c r="Q25" s="17"/>
      <c r="R25" s="17"/>
      <c r="S25" s="17"/>
      <c r="T25" s="17"/>
    </row>
    <row r="26" spans="1:20" ht="13.5" customHeight="1">
      <c r="A26" s="15" t="s">
        <v>13</v>
      </c>
      <c r="B26" s="16">
        <f t="shared" ref="B26:G26" si="50">DATE(LEFT(B1,4),11,23)</f>
        <v>41966</v>
      </c>
      <c r="C26" s="16">
        <f t="shared" si="50"/>
        <v>42331</v>
      </c>
      <c r="D26" s="16">
        <f t="shared" si="50"/>
        <v>42697</v>
      </c>
      <c r="E26" s="16">
        <f t="shared" si="50"/>
        <v>43062</v>
      </c>
      <c r="F26" s="16">
        <f t="shared" si="50"/>
        <v>43427</v>
      </c>
      <c r="G26" s="16">
        <f t="shared" si="50"/>
        <v>43792</v>
      </c>
      <c r="H26" s="16">
        <f t="shared" ref="H26:K26" si="51">DATE(LEFT(H1,4),11,23)</f>
        <v>44158</v>
      </c>
      <c r="I26" s="16">
        <f t="shared" si="51"/>
        <v>44523</v>
      </c>
      <c r="J26" s="16">
        <f t="shared" si="51"/>
        <v>44888</v>
      </c>
      <c r="K26" s="16">
        <f t="shared" si="51"/>
        <v>45253</v>
      </c>
      <c r="L26" s="17"/>
      <c r="M26" s="17"/>
      <c r="N26" s="17"/>
      <c r="O26" s="17"/>
      <c r="P26" s="17"/>
      <c r="Q26" s="17"/>
      <c r="R26" s="17"/>
      <c r="S26" s="17"/>
      <c r="T26" s="17"/>
    </row>
    <row r="27" spans="1:20" ht="13.5" customHeight="1">
      <c r="A27" s="10" t="s">
        <v>14</v>
      </c>
      <c r="B27" s="16">
        <f t="shared" ref="B27:G27" si="52">IF(WEEKDAY(B26)=1,B26+1,B26)</f>
        <v>41967</v>
      </c>
      <c r="C27" s="16">
        <f t="shared" si="52"/>
        <v>42331</v>
      </c>
      <c r="D27" s="16">
        <f t="shared" si="52"/>
        <v>42697</v>
      </c>
      <c r="E27" s="16">
        <f t="shared" si="52"/>
        <v>43062</v>
      </c>
      <c r="F27" s="16">
        <f t="shared" si="52"/>
        <v>43427</v>
      </c>
      <c r="G27" s="16">
        <f t="shared" si="52"/>
        <v>43792</v>
      </c>
      <c r="H27" s="16">
        <f t="shared" ref="H27:K27" si="53">IF(WEEKDAY(H26)=1,H26+1,H26)</f>
        <v>44158</v>
      </c>
      <c r="I27" s="16">
        <f t="shared" si="53"/>
        <v>44523</v>
      </c>
      <c r="J27" s="16">
        <f t="shared" si="53"/>
        <v>44888</v>
      </c>
      <c r="K27" s="16">
        <f t="shared" si="53"/>
        <v>45253</v>
      </c>
      <c r="L27" s="17"/>
      <c r="M27" s="17"/>
      <c r="N27" s="17"/>
      <c r="O27" s="17"/>
      <c r="P27" s="17"/>
      <c r="Q27" s="17"/>
      <c r="R27" s="17"/>
      <c r="S27" s="17"/>
      <c r="T27" s="17"/>
    </row>
    <row r="28" spans="1:20" ht="13.5" customHeight="1">
      <c r="A28" s="15" t="s">
        <v>15</v>
      </c>
      <c r="B28" s="16">
        <f t="shared" ref="B28:G28" si="54">DATE(LEFT(B1,4),12,23)</f>
        <v>41996</v>
      </c>
      <c r="C28" s="16">
        <f t="shared" si="54"/>
        <v>42361</v>
      </c>
      <c r="D28" s="16">
        <f t="shared" si="54"/>
        <v>42727</v>
      </c>
      <c r="E28" s="16">
        <f t="shared" si="54"/>
        <v>43092</v>
      </c>
      <c r="F28" s="16">
        <f t="shared" si="54"/>
        <v>43457</v>
      </c>
      <c r="G28" s="16">
        <f t="shared" si="54"/>
        <v>43822</v>
      </c>
      <c r="H28" s="16">
        <f t="shared" ref="H28:K28" si="55">DATE(LEFT(H1,4),12,23)</f>
        <v>44188</v>
      </c>
      <c r="I28" s="16">
        <f t="shared" si="55"/>
        <v>44553</v>
      </c>
      <c r="J28" s="16">
        <f t="shared" si="55"/>
        <v>44918</v>
      </c>
      <c r="K28" s="16">
        <f t="shared" si="55"/>
        <v>45283</v>
      </c>
      <c r="L28" s="17"/>
      <c r="M28" s="17"/>
      <c r="N28" s="17"/>
      <c r="O28" s="17"/>
      <c r="P28" s="17"/>
      <c r="Q28" s="17"/>
      <c r="R28" s="17"/>
      <c r="S28" s="17"/>
      <c r="T28" s="17"/>
    </row>
    <row r="29" spans="1:20" ht="13.5" customHeight="1">
      <c r="A29" s="10" t="s">
        <v>14</v>
      </c>
      <c r="B29" s="16">
        <f t="shared" ref="B29:G29" si="56">IF(WEEKDAY(B28)=1,B28+1,B28)</f>
        <v>41996</v>
      </c>
      <c r="C29" s="16">
        <f t="shared" si="56"/>
        <v>42361</v>
      </c>
      <c r="D29" s="16">
        <f t="shared" si="56"/>
        <v>42727</v>
      </c>
      <c r="E29" s="16">
        <f t="shared" si="56"/>
        <v>43092</v>
      </c>
      <c r="F29" s="16">
        <f t="shared" si="56"/>
        <v>43458</v>
      </c>
      <c r="G29" s="16">
        <f t="shared" si="56"/>
        <v>43822</v>
      </c>
      <c r="H29" s="16">
        <f t="shared" ref="H29:K29" si="57">IF(WEEKDAY(H28)=1,H28+1,H28)</f>
        <v>44188</v>
      </c>
      <c r="I29" s="16">
        <f t="shared" si="57"/>
        <v>44553</v>
      </c>
      <c r="J29" s="16">
        <f t="shared" si="57"/>
        <v>44918</v>
      </c>
      <c r="K29" s="16">
        <f t="shared" si="57"/>
        <v>45283</v>
      </c>
      <c r="L29" s="17"/>
      <c r="M29" s="17"/>
      <c r="N29" s="17"/>
      <c r="O29" s="17"/>
      <c r="P29" s="17"/>
      <c r="Q29" s="17"/>
      <c r="R29" s="17"/>
      <c r="S29" s="17"/>
      <c r="T29" s="17"/>
    </row>
    <row r="30" spans="1:20" ht="13.5" customHeight="1">
      <c r="A30" s="19" t="s">
        <v>39</v>
      </c>
      <c r="B30" s="16">
        <v>42002</v>
      </c>
      <c r="C30" s="16">
        <v>42367</v>
      </c>
      <c r="D30" s="16">
        <v>42373</v>
      </c>
      <c r="E30" s="16">
        <v>42739</v>
      </c>
      <c r="F30" s="16"/>
      <c r="G30" s="16"/>
      <c r="H30" s="16"/>
      <c r="I30" s="16"/>
      <c r="J30" s="16"/>
      <c r="K30" s="16"/>
      <c r="L30" s="17"/>
      <c r="M30" s="17"/>
      <c r="N30" s="17"/>
      <c r="O30" s="17"/>
      <c r="P30" s="17"/>
      <c r="Q30" s="17"/>
      <c r="R30" s="17"/>
      <c r="S30" s="17"/>
      <c r="T30" s="17"/>
    </row>
    <row r="31" spans="1:20" ht="13.5" customHeight="1">
      <c r="A31" s="19" t="s">
        <v>41</v>
      </c>
      <c r="B31" s="16">
        <v>42003</v>
      </c>
      <c r="C31" s="16">
        <v>42368</v>
      </c>
      <c r="D31" s="16">
        <v>42733</v>
      </c>
      <c r="E31" s="16">
        <v>43098</v>
      </c>
      <c r="F31" s="16"/>
      <c r="G31" s="16"/>
      <c r="H31" s="16"/>
      <c r="I31" s="16"/>
      <c r="J31" s="16"/>
      <c r="K31" s="16"/>
      <c r="L31" s="17"/>
      <c r="M31" s="17"/>
      <c r="N31" s="17"/>
      <c r="O31" s="17"/>
      <c r="P31" s="17"/>
      <c r="Q31" s="17"/>
      <c r="R31" s="17"/>
      <c r="S31" s="17"/>
      <c r="T31" s="17"/>
    </row>
    <row r="32" spans="1:20" ht="13.5" customHeight="1">
      <c r="A32" s="19" t="s">
        <v>42</v>
      </c>
      <c r="B32" s="16">
        <v>42004</v>
      </c>
      <c r="C32" s="16">
        <v>42369</v>
      </c>
      <c r="D32" s="16">
        <v>42734</v>
      </c>
      <c r="E32" s="16">
        <v>43099</v>
      </c>
      <c r="F32" s="16"/>
      <c r="G32" s="16"/>
      <c r="H32" s="16"/>
      <c r="I32" s="16"/>
      <c r="J32" s="16"/>
      <c r="K32" s="16"/>
      <c r="L32" s="17"/>
      <c r="M32" s="17"/>
      <c r="N32" s="17"/>
      <c r="O32" s="17"/>
      <c r="P32" s="17"/>
      <c r="Q32" s="17"/>
      <c r="R32" s="17"/>
      <c r="S32" s="17"/>
      <c r="T32" s="17"/>
    </row>
    <row r="33" spans="1:20" ht="13.5" customHeight="1">
      <c r="A33" s="19" t="s">
        <v>43</v>
      </c>
      <c r="B33" s="16"/>
      <c r="C33" s="16"/>
      <c r="D33" s="16">
        <v>42735</v>
      </c>
      <c r="E33" s="16">
        <v>43100</v>
      </c>
      <c r="F33" s="16"/>
      <c r="G33" s="16"/>
      <c r="H33" s="16"/>
      <c r="I33" s="16"/>
      <c r="J33" s="16"/>
      <c r="K33" s="16"/>
      <c r="L33" s="17"/>
      <c r="M33" s="17"/>
      <c r="N33" s="17"/>
      <c r="O33" s="17"/>
      <c r="P33" s="17"/>
      <c r="Q33" s="17"/>
      <c r="R33" s="17"/>
      <c r="S33" s="17"/>
      <c r="T33" s="17"/>
    </row>
    <row r="34" spans="1:20" ht="13.5" customHeight="1" thickBot="1">
      <c r="A34" s="41" t="s">
        <v>44</v>
      </c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17"/>
      <c r="M34" s="17"/>
      <c r="N34" s="17"/>
      <c r="O34" s="17"/>
      <c r="P34" s="17"/>
      <c r="Q34" s="17"/>
      <c r="R34" s="17"/>
      <c r="S34" s="17"/>
      <c r="T34" s="17"/>
    </row>
    <row r="35" spans="1:20" ht="13.5" customHeight="1" thickBot="1">
      <c r="A35" s="43" t="s">
        <v>54</v>
      </c>
      <c r="B35" s="44">
        <f>SUMPRODUCT((B$3:B$34&lt;&gt;"")/COUNTIF(B$3:B$34,B$3:B$34&amp;""))</f>
        <v>22</v>
      </c>
      <c r="C35" s="44">
        <f t="shared" ref="C35:K35" si="58">SUMPRODUCT((C$3:C$34&lt;&gt;"")/COUNTIF(C$3:C$34,C$3:C$34&amp;""))</f>
        <v>22</v>
      </c>
      <c r="D35" s="44">
        <f t="shared" si="58"/>
        <v>23</v>
      </c>
      <c r="E35" s="44">
        <f t="shared" si="58"/>
        <v>22</v>
      </c>
      <c r="F35" s="44">
        <f t="shared" si="58"/>
        <v>22</v>
      </c>
      <c r="G35" s="44">
        <f t="shared" si="58"/>
        <v>20</v>
      </c>
      <c r="H35" s="44">
        <f t="shared" si="58"/>
        <v>19</v>
      </c>
      <c r="I35" s="44">
        <f t="shared" si="58"/>
        <v>18</v>
      </c>
      <c r="J35" s="44">
        <f t="shared" si="58"/>
        <v>18</v>
      </c>
      <c r="K35" s="45">
        <f t="shared" si="58"/>
        <v>18</v>
      </c>
      <c r="L35" s="17"/>
      <c r="M35" s="17"/>
      <c r="N35" s="17"/>
      <c r="O35" s="17"/>
      <c r="P35" s="17"/>
      <c r="Q35" s="17"/>
      <c r="R35" s="17"/>
      <c r="S35" s="17"/>
      <c r="T35" s="17"/>
    </row>
    <row r="36" spans="1:20" ht="13.5" customHeight="1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</row>
    <row r="37" spans="1:20" ht="13.5" customHeight="1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</row>
    <row r="38" spans="1:20" ht="13.5" customHeight="1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</row>
    <row r="39" spans="1:20" ht="13.5" customHeight="1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</row>
    <row r="40" spans="1:20" ht="13.5" customHeight="1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</row>
    <row r="41" spans="1:20" ht="13.5" customHeight="1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</row>
    <row r="42" spans="1:20" ht="13.5" customHeight="1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</row>
    <row r="43" spans="1:20" ht="13.5" customHeight="1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</row>
    <row r="44" spans="1:20" ht="13.5" customHeight="1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</row>
    <row r="45" spans="1:20" ht="13.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</row>
    <row r="46" spans="1:20" ht="13.5" customHeigh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</row>
    <row r="47" spans="1:20" ht="13.5" customHeight="1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</row>
    <row r="48" spans="1:20" ht="13.5" customHeight="1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</row>
    <row r="49" spans="1:20" ht="13.5" customHeight="1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</row>
    <row r="50" spans="1:20" ht="13.5" customHeight="1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</row>
    <row r="51" spans="1:20" ht="13.5" customHeight="1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</row>
    <row r="52" spans="1:20" ht="13.5" customHeight="1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</row>
    <row r="53" spans="1:20" ht="13.5" customHeight="1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</row>
    <row r="54" spans="1:20" ht="13.5" customHeight="1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</row>
    <row r="55" spans="1:20" ht="13.5" customHeight="1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</row>
    <row r="56" spans="1:20" ht="13.5" customHeight="1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</row>
    <row r="57" spans="1:20" ht="13.5" customHeight="1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</row>
    <row r="58" spans="1:20" ht="13.5" customHeight="1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</row>
    <row r="59" spans="1:20" ht="13.5" customHeight="1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</row>
    <row r="60" spans="1:20" ht="13.5" customHeight="1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</row>
    <row r="61" spans="1:20" ht="13.5" customHeight="1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</row>
    <row r="62" spans="1:20" ht="13.5" customHeight="1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</row>
    <row r="63" spans="1:20" ht="13.5" customHeight="1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</row>
    <row r="64" spans="1:20" ht="13.5" customHeight="1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</row>
    <row r="65" spans="1:20" ht="13.5" customHeight="1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</row>
    <row r="66" spans="1:20" ht="13.5" customHeight="1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</row>
    <row r="67" spans="1:20" ht="13.5" customHeight="1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</row>
    <row r="68" spans="1:20" ht="13.5" customHeight="1">
      <c r="S68" s="17"/>
      <c r="T68" s="17"/>
    </row>
    <row r="69" spans="1:20" ht="13.5" customHeight="1">
      <c r="S69" s="17"/>
      <c r="T69" s="17"/>
    </row>
  </sheetData>
  <phoneticPr fontId="2"/>
  <conditionalFormatting sqref="B3:K29">
    <cfRule type="expression" dxfId="1" priority="7">
      <formula>B3=B2</formula>
    </cfRule>
  </conditionalFormatting>
  <conditionalFormatting sqref="B1:K2">
    <cfRule type="expression" dxfId="0" priority="2">
      <formula>LEFT(B$1,4)=TEXT(YEAR(TODAY()),"0000")</formula>
    </cfRule>
  </conditionalFormatting>
  <pageMargins left="0.19685039370078741" right="0.19685039370078741" top="0.39370078740157483" bottom="0.39370078740157483" header="0.19685039370078741" footer="0.19685039370078741"/>
  <pageSetup paperSize="9" scale="79" fitToHeight="0" orientation="landscape" r:id="rId1"/>
  <headerFooter>
    <oddHeader>&amp;R&amp;F</oddHeader>
    <oddFooter>&amp;P / &amp;N ページ</oddFooter>
  </headerFooter>
  <ignoredErrors>
    <ignoredError sqref="A1:K29 A31:K35 A30:E30 G30:K30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ase">
    <pageSetUpPr fitToPage="1"/>
  </sheetPr>
  <dimension ref="A1:K69"/>
  <sheetViews>
    <sheetView zoomScaleNormal="100" workbookViewId="0"/>
  </sheetViews>
  <sheetFormatPr defaultColWidth="2.7109375" defaultRowHeight="12"/>
  <cols>
    <col min="1" max="2" width="3.7109375" style="1" bestFit="1" customWidth="1"/>
    <col min="3" max="6" width="6.7109375" style="1" bestFit="1" customWidth="1"/>
    <col min="7" max="7" width="13.7109375" style="1" customWidth="1"/>
    <col min="8" max="8" width="30.7109375" style="1" customWidth="1"/>
    <col min="9" max="9" width="60.7109375" style="1" customWidth="1"/>
    <col min="10" max="10" width="6.7109375" style="1" customWidth="1"/>
    <col min="11" max="11" width="30.7109375" style="1" customWidth="1"/>
    <col min="12" max="16384" width="2.7109375" style="1"/>
  </cols>
  <sheetData>
    <row r="1" spans="1:11">
      <c r="A1" s="2" t="s">
        <v>1</v>
      </c>
      <c r="B1" s="57"/>
      <c r="C1" s="58"/>
    </row>
    <row r="2" spans="1:11">
      <c r="A2" s="2" t="s">
        <v>2</v>
      </c>
      <c r="B2" s="57"/>
      <c r="C2" s="58"/>
    </row>
    <row r="4" spans="1:11">
      <c r="A4" s="30" t="s">
        <v>0</v>
      </c>
      <c r="B4" s="31"/>
      <c r="C4" s="32" t="s">
        <v>7</v>
      </c>
      <c r="D4" s="32" t="s">
        <v>8</v>
      </c>
      <c r="E4" s="3" t="s">
        <v>53</v>
      </c>
      <c r="F4" s="4"/>
      <c r="G4" s="32" t="s">
        <v>3</v>
      </c>
      <c r="H4" s="32" t="s">
        <v>10</v>
      </c>
      <c r="I4" s="32" t="s">
        <v>4</v>
      </c>
      <c r="J4" s="32" t="s">
        <v>5</v>
      </c>
      <c r="K4" s="32" t="s">
        <v>6</v>
      </c>
    </row>
    <row r="5" spans="1:11">
      <c r="A5" s="33"/>
      <c r="B5" s="34"/>
      <c r="C5" s="35"/>
      <c r="D5" s="35"/>
      <c r="E5" s="32" t="s">
        <v>59</v>
      </c>
      <c r="F5" s="32" t="s">
        <v>52</v>
      </c>
      <c r="G5" s="35"/>
      <c r="H5" s="35"/>
      <c r="I5" s="35"/>
      <c r="J5" s="35"/>
      <c r="K5" s="35"/>
    </row>
    <row r="6" spans="1:11">
      <c r="A6" s="59">
        <f>IF(ISERROR(DATE(B1,B2,1)),DATE(1900,1,1),DATE(B1,B2,1))</f>
        <v>1</v>
      </c>
      <c r="B6" s="61">
        <f>IF(A6="","",A6)</f>
        <v>1</v>
      </c>
      <c r="C6" s="55"/>
      <c r="D6" s="55"/>
      <c r="E6" s="55"/>
      <c r="F6" s="55"/>
      <c r="G6" s="20"/>
      <c r="H6" s="21"/>
      <c r="I6" s="21"/>
      <c r="J6" s="22"/>
      <c r="K6" s="21"/>
    </row>
    <row r="7" spans="1:11">
      <c r="A7" s="60"/>
      <c r="B7" s="62"/>
      <c r="C7" s="56"/>
      <c r="D7" s="56"/>
      <c r="E7" s="56"/>
      <c r="F7" s="56"/>
      <c r="G7" s="23"/>
      <c r="H7" s="24"/>
      <c r="I7" s="24"/>
      <c r="J7" s="25"/>
      <c r="K7" s="24"/>
    </row>
    <row r="8" spans="1:11">
      <c r="A8" s="49">
        <f>IF(A6="","",A6+1)</f>
        <v>2</v>
      </c>
      <c r="B8" s="51">
        <f t="shared" ref="B8" si="0">IF(A8="","",A8)</f>
        <v>2</v>
      </c>
      <c r="C8" s="53"/>
      <c r="D8" s="53"/>
      <c r="E8" s="53"/>
      <c r="F8" s="53"/>
      <c r="G8" s="20"/>
      <c r="H8" s="21"/>
      <c r="I8" s="21"/>
      <c r="J8" s="22"/>
      <c r="K8" s="21"/>
    </row>
    <row r="9" spans="1:11">
      <c r="A9" s="50"/>
      <c r="B9" s="52"/>
      <c r="C9" s="54"/>
      <c r="D9" s="54"/>
      <c r="E9" s="54"/>
      <c r="F9" s="54"/>
      <c r="G9" s="23"/>
      <c r="H9" s="24"/>
      <c r="I9" s="24"/>
      <c r="J9" s="25"/>
      <c r="K9" s="24"/>
    </row>
    <row r="10" spans="1:11">
      <c r="A10" s="49">
        <f>IF(A8="","",A8+1)</f>
        <v>3</v>
      </c>
      <c r="B10" s="51">
        <f t="shared" ref="B10" si="1">IF(A10="","",A10)</f>
        <v>3</v>
      </c>
      <c r="C10" s="53"/>
      <c r="D10" s="53"/>
      <c r="E10" s="53"/>
      <c r="F10" s="53"/>
      <c r="G10" s="20"/>
      <c r="H10" s="21"/>
      <c r="I10" s="21"/>
      <c r="J10" s="22"/>
      <c r="K10" s="21"/>
    </row>
    <row r="11" spans="1:11">
      <c r="A11" s="50"/>
      <c r="B11" s="52"/>
      <c r="C11" s="54"/>
      <c r="D11" s="54"/>
      <c r="E11" s="54"/>
      <c r="F11" s="54"/>
      <c r="G11" s="23"/>
      <c r="H11" s="24"/>
      <c r="I11" s="24"/>
      <c r="J11" s="25"/>
      <c r="K11" s="24"/>
    </row>
    <row r="12" spans="1:11">
      <c r="A12" s="49">
        <f>IF(A10="","",A10+1)</f>
        <v>4</v>
      </c>
      <c r="B12" s="51">
        <f t="shared" ref="B12" si="2">IF(A12="","",A12)</f>
        <v>4</v>
      </c>
      <c r="C12" s="53"/>
      <c r="D12" s="53"/>
      <c r="E12" s="53"/>
      <c r="F12" s="53"/>
      <c r="G12" s="20"/>
      <c r="H12" s="21"/>
      <c r="I12" s="21"/>
      <c r="J12" s="22"/>
      <c r="K12" s="21"/>
    </row>
    <row r="13" spans="1:11">
      <c r="A13" s="50"/>
      <c r="B13" s="52"/>
      <c r="C13" s="54"/>
      <c r="D13" s="54"/>
      <c r="E13" s="54"/>
      <c r="F13" s="54"/>
      <c r="G13" s="23"/>
      <c r="H13" s="24"/>
      <c r="I13" s="24"/>
      <c r="J13" s="25"/>
      <c r="K13" s="24"/>
    </row>
    <row r="14" spans="1:11">
      <c r="A14" s="49">
        <f>IF(A12="","",A12+1)</f>
        <v>5</v>
      </c>
      <c r="B14" s="51">
        <f t="shared" ref="B14" si="3">IF(A14="","",A14)</f>
        <v>5</v>
      </c>
      <c r="C14" s="53"/>
      <c r="D14" s="53"/>
      <c r="E14" s="53"/>
      <c r="F14" s="53"/>
      <c r="G14" s="20"/>
      <c r="H14" s="21"/>
      <c r="I14" s="21"/>
      <c r="J14" s="22"/>
      <c r="K14" s="21"/>
    </row>
    <row r="15" spans="1:11">
      <c r="A15" s="50"/>
      <c r="B15" s="52"/>
      <c r="C15" s="54"/>
      <c r="D15" s="54"/>
      <c r="E15" s="54"/>
      <c r="F15" s="54"/>
      <c r="G15" s="23"/>
      <c r="H15" s="24"/>
      <c r="I15" s="24"/>
      <c r="J15" s="25"/>
      <c r="K15" s="24"/>
    </row>
    <row r="16" spans="1:11">
      <c r="A16" s="49">
        <f>IF(A14="","",A14+1)</f>
        <v>6</v>
      </c>
      <c r="B16" s="51">
        <f t="shared" ref="B16" si="4">IF(A16="","",A16)</f>
        <v>6</v>
      </c>
      <c r="C16" s="53"/>
      <c r="D16" s="53"/>
      <c r="E16" s="53"/>
      <c r="F16" s="53"/>
      <c r="G16" s="20"/>
      <c r="H16" s="21"/>
      <c r="I16" s="21"/>
      <c r="J16" s="22"/>
      <c r="K16" s="21"/>
    </row>
    <row r="17" spans="1:11">
      <c r="A17" s="50"/>
      <c r="B17" s="52"/>
      <c r="C17" s="54"/>
      <c r="D17" s="54"/>
      <c r="E17" s="54"/>
      <c r="F17" s="54"/>
      <c r="G17" s="23"/>
      <c r="H17" s="24"/>
      <c r="I17" s="24"/>
      <c r="J17" s="25"/>
      <c r="K17" s="24"/>
    </row>
    <row r="18" spans="1:11">
      <c r="A18" s="49">
        <f>IF(A16="","",A16+1)</f>
        <v>7</v>
      </c>
      <c r="B18" s="51">
        <f t="shared" ref="B18" si="5">IF(A18="","",A18)</f>
        <v>7</v>
      </c>
      <c r="C18" s="53"/>
      <c r="D18" s="53"/>
      <c r="E18" s="53"/>
      <c r="F18" s="53"/>
      <c r="G18" s="20"/>
      <c r="H18" s="21"/>
      <c r="I18" s="21"/>
      <c r="J18" s="22"/>
      <c r="K18" s="21"/>
    </row>
    <row r="19" spans="1:11">
      <c r="A19" s="50"/>
      <c r="B19" s="52"/>
      <c r="C19" s="54"/>
      <c r="D19" s="54"/>
      <c r="E19" s="54"/>
      <c r="F19" s="54"/>
      <c r="G19" s="23"/>
      <c r="H19" s="24"/>
      <c r="I19" s="24"/>
      <c r="J19" s="25"/>
      <c r="K19" s="24"/>
    </row>
    <row r="20" spans="1:11">
      <c r="A20" s="49">
        <f>IF(A18="","",A18+1)</f>
        <v>8</v>
      </c>
      <c r="B20" s="51">
        <f t="shared" ref="B20" si="6">IF(A20="","",A20)</f>
        <v>8</v>
      </c>
      <c r="C20" s="53"/>
      <c r="D20" s="53"/>
      <c r="E20" s="53"/>
      <c r="F20" s="53"/>
      <c r="G20" s="20"/>
      <c r="H20" s="21"/>
      <c r="I20" s="21"/>
      <c r="J20" s="22"/>
      <c r="K20" s="21"/>
    </row>
    <row r="21" spans="1:11">
      <c r="A21" s="50"/>
      <c r="B21" s="52"/>
      <c r="C21" s="54"/>
      <c r="D21" s="54"/>
      <c r="E21" s="54"/>
      <c r="F21" s="54"/>
      <c r="G21" s="23"/>
      <c r="H21" s="24"/>
      <c r="I21" s="24"/>
      <c r="J21" s="25"/>
      <c r="K21" s="24"/>
    </row>
    <row r="22" spans="1:11">
      <c r="A22" s="49">
        <f>IF(A20="","",A20+1)</f>
        <v>9</v>
      </c>
      <c r="B22" s="51">
        <f t="shared" ref="B22" si="7">IF(A22="","",A22)</f>
        <v>9</v>
      </c>
      <c r="C22" s="53"/>
      <c r="D22" s="53"/>
      <c r="E22" s="53"/>
      <c r="F22" s="53"/>
      <c r="G22" s="20"/>
      <c r="H22" s="21"/>
      <c r="I22" s="21"/>
      <c r="J22" s="22"/>
      <c r="K22" s="21"/>
    </row>
    <row r="23" spans="1:11">
      <c r="A23" s="50"/>
      <c r="B23" s="52"/>
      <c r="C23" s="54"/>
      <c r="D23" s="54"/>
      <c r="E23" s="54"/>
      <c r="F23" s="54"/>
      <c r="G23" s="23"/>
      <c r="H23" s="24"/>
      <c r="I23" s="24"/>
      <c r="J23" s="25"/>
      <c r="K23" s="24"/>
    </row>
    <row r="24" spans="1:11">
      <c r="A24" s="49">
        <f t="shared" ref="A24" si="8">IF(A22="","",A22+1)</f>
        <v>10</v>
      </c>
      <c r="B24" s="51">
        <f t="shared" ref="B24" si="9">IF(A24="","",A24)</f>
        <v>10</v>
      </c>
      <c r="C24" s="53"/>
      <c r="D24" s="53"/>
      <c r="E24" s="53"/>
      <c r="F24" s="53"/>
      <c r="G24" s="20"/>
      <c r="H24" s="21"/>
      <c r="I24" s="21"/>
      <c r="J24" s="22"/>
      <c r="K24" s="21"/>
    </row>
    <row r="25" spans="1:11">
      <c r="A25" s="50"/>
      <c r="B25" s="52"/>
      <c r="C25" s="54"/>
      <c r="D25" s="54"/>
      <c r="E25" s="54"/>
      <c r="F25" s="54"/>
      <c r="G25" s="23"/>
      <c r="H25" s="24"/>
      <c r="I25" s="24"/>
      <c r="J25" s="25"/>
      <c r="K25" s="24"/>
    </row>
    <row r="26" spans="1:11">
      <c r="A26" s="49">
        <f t="shared" ref="A26" si="10">IF(A24="","",A24+1)</f>
        <v>11</v>
      </c>
      <c r="B26" s="51">
        <f t="shared" ref="B26" si="11">IF(A26="","",A26)</f>
        <v>11</v>
      </c>
      <c r="C26" s="53"/>
      <c r="D26" s="53"/>
      <c r="E26" s="53"/>
      <c r="F26" s="53"/>
      <c r="G26" s="20"/>
      <c r="H26" s="21"/>
      <c r="I26" s="21"/>
      <c r="J26" s="22"/>
      <c r="K26" s="21"/>
    </row>
    <row r="27" spans="1:11">
      <c r="A27" s="50"/>
      <c r="B27" s="52"/>
      <c r="C27" s="54"/>
      <c r="D27" s="54"/>
      <c r="E27" s="54"/>
      <c r="F27" s="54"/>
      <c r="G27" s="23"/>
      <c r="H27" s="24"/>
      <c r="I27" s="24"/>
      <c r="J27" s="25"/>
      <c r="K27" s="24"/>
    </row>
    <row r="28" spans="1:11">
      <c r="A28" s="49">
        <f t="shared" ref="A28" si="12">IF(A26="","",A26+1)</f>
        <v>12</v>
      </c>
      <c r="B28" s="51">
        <f t="shared" ref="B28" si="13">IF(A28="","",A28)</f>
        <v>12</v>
      </c>
      <c r="C28" s="53"/>
      <c r="D28" s="53"/>
      <c r="E28" s="53"/>
      <c r="F28" s="53"/>
      <c r="G28" s="20"/>
      <c r="H28" s="21"/>
      <c r="I28" s="21"/>
      <c r="J28" s="22"/>
      <c r="K28" s="21"/>
    </row>
    <row r="29" spans="1:11">
      <c r="A29" s="50"/>
      <c r="B29" s="52"/>
      <c r="C29" s="54"/>
      <c r="D29" s="54"/>
      <c r="E29" s="54"/>
      <c r="F29" s="54"/>
      <c r="G29" s="23"/>
      <c r="H29" s="24"/>
      <c r="I29" s="24"/>
      <c r="J29" s="25"/>
      <c r="K29" s="24"/>
    </row>
    <row r="30" spans="1:11">
      <c r="A30" s="49">
        <f t="shared" ref="A30" si="14">IF(A28="","",A28+1)</f>
        <v>13</v>
      </c>
      <c r="B30" s="51">
        <f t="shared" ref="B30" si="15">IF(A30="","",A30)</f>
        <v>13</v>
      </c>
      <c r="C30" s="53"/>
      <c r="D30" s="53"/>
      <c r="E30" s="53"/>
      <c r="F30" s="53"/>
      <c r="G30" s="20"/>
      <c r="H30" s="21"/>
      <c r="I30" s="21"/>
      <c r="J30" s="22"/>
      <c r="K30" s="21"/>
    </row>
    <row r="31" spans="1:11">
      <c r="A31" s="50"/>
      <c r="B31" s="52"/>
      <c r="C31" s="54"/>
      <c r="D31" s="54"/>
      <c r="E31" s="54"/>
      <c r="F31" s="54"/>
      <c r="G31" s="23"/>
      <c r="H31" s="24"/>
      <c r="I31" s="24"/>
      <c r="J31" s="25"/>
      <c r="K31" s="24"/>
    </row>
    <row r="32" spans="1:11">
      <c r="A32" s="49">
        <f>IF(A30="","",A30+1)</f>
        <v>14</v>
      </c>
      <c r="B32" s="51">
        <f t="shared" ref="B32" si="16">IF(A32="","",A32)</f>
        <v>14</v>
      </c>
      <c r="C32" s="53"/>
      <c r="D32" s="53"/>
      <c r="E32" s="53"/>
      <c r="F32" s="53"/>
      <c r="G32" s="20"/>
      <c r="H32" s="21"/>
      <c r="I32" s="21"/>
      <c r="J32" s="22"/>
      <c r="K32" s="21"/>
    </row>
    <row r="33" spans="1:11">
      <c r="A33" s="50"/>
      <c r="B33" s="52"/>
      <c r="C33" s="54"/>
      <c r="D33" s="54"/>
      <c r="E33" s="54"/>
      <c r="F33" s="54"/>
      <c r="G33" s="23"/>
      <c r="H33" s="24"/>
      <c r="I33" s="24"/>
      <c r="J33" s="25"/>
      <c r="K33" s="24"/>
    </row>
    <row r="34" spans="1:11">
      <c r="A34" s="49">
        <f t="shared" ref="A34" si="17">IF(A32="","",A32+1)</f>
        <v>15</v>
      </c>
      <c r="B34" s="51">
        <f t="shared" ref="B34" si="18">IF(A34="","",A34)</f>
        <v>15</v>
      </c>
      <c r="C34" s="53"/>
      <c r="D34" s="53"/>
      <c r="E34" s="53"/>
      <c r="F34" s="53"/>
      <c r="G34" s="20"/>
      <c r="H34" s="21"/>
      <c r="I34" s="21"/>
      <c r="J34" s="22"/>
      <c r="K34" s="21"/>
    </row>
    <row r="35" spans="1:11">
      <c r="A35" s="50"/>
      <c r="B35" s="52"/>
      <c r="C35" s="54"/>
      <c r="D35" s="54"/>
      <c r="E35" s="54"/>
      <c r="F35" s="54"/>
      <c r="G35" s="23"/>
      <c r="H35" s="24"/>
      <c r="I35" s="24"/>
      <c r="J35" s="25"/>
      <c r="K35" s="24"/>
    </row>
    <row r="36" spans="1:11">
      <c r="A36" s="49">
        <f t="shared" ref="A36" si="19">IF(A34="","",A34+1)</f>
        <v>16</v>
      </c>
      <c r="B36" s="51">
        <f t="shared" ref="B36" si="20">IF(A36="","",A36)</f>
        <v>16</v>
      </c>
      <c r="C36" s="53"/>
      <c r="D36" s="53"/>
      <c r="E36" s="53"/>
      <c r="F36" s="53"/>
      <c r="G36" s="20"/>
      <c r="H36" s="21"/>
      <c r="I36" s="21"/>
      <c r="J36" s="22"/>
      <c r="K36" s="21"/>
    </row>
    <row r="37" spans="1:11">
      <c r="A37" s="50"/>
      <c r="B37" s="52"/>
      <c r="C37" s="54"/>
      <c r="D37" s="54"/>
      <c r="E37" s="54"/>
      <c r="F37" s="54"/>
      <c r="G37" s="23"/>
      <c r="H37" s="24"/>
      <c r="I37" s="24"/>
      <c r="J37" s="25"/>
      <c r="K37" s="24"/>
    </row>
    <row r="38" spans="1:11">
      <c r="A38" s="49">
        <f>IF(A36="","",A36+1)</f>
        <v>17</v>
      </c>
      <c r="B38" s="51">
        <f t="shared" ref="B38" si="21">IF(A38="","",A38)</f>
        <v>17</v>
      </c>
      <c r="C38" s="53"/>
      <c r="D38" s="53"/>
      <c r="E38" s="53"/>
      <c r="F38" s="53"/>
      <c r="G38" s="20"/>
      <c r="H38" s="21"/>
      <c r="I38" s="21"/>
      <c r="J38" s="22"/>
      <c r="K38" s="21"/>
    </row>
    <row r="39" spans="1:11">
      <c r="A39" s="50"/>
      <c r="B39" s="52"/>
      <c r="C39" s="54"/>
      <c r="D39" s="54"/>
      <c r="E39" s="54"/>
      <c r="F39" s="54"/>
      <c r="G39" s="23"/>
      <c r="H39" s="24"/>
      <c r="I39" s="24"/>
      <c r="J39" s="25"/>
      <c r="K39" s="24"/>
    </row>
    <row r="40" spans="1:11">
      <c r="A40" s="49">
        <f t="shared" ref="A40" si="22">IF(A38="","",A38+1)</f>
        <v>18</v>
      </c>
      <c r="B40" s="51">
        <f t="shared" ref="B40" si="23">IF(A40="","",A40)</f>
        <v>18</v>
      </c>
      <c r="C40" s="53"/>
      <c r="D40" s="53"/>
      <c r="E40" s="53"/>
      <c r="F40" s="53"/>
      <c r="G40" s="20"/>
      <c r="H40" s="21"/>
      <c r="I40" s="21"/>
      <c r="J40" s="22"/>
      <c r="K40" s="21"/>
    </row>
    <row r="41" spans="1:11">
      <c r="A41" s="50"/>
      <c r="B41" s="52"/>
      <c r="C41" s="54"/>
      <c r="D41" s="54"/>
      <c r="E41" s="54"/>
      <c r="F41" s="54"/>
      <c r="G41" s="23"/>
      <c r="H41" s="24"/>
      <c r="I41" s="24"/>
      <c r="J41" s="25"/>
      <c r="K41" s="24"/>
    </row>
    <row r="42" spans="1:11">
      <c r="A42" s="49">
        <f t="shared" ref="A42" si="24">IF(A40="","",A40+1)</f>
        <v>19</v>
      </c>
      <c r="B42" s="51">
        <f t="shared" ref="B42" si="25">IF(A42="","",A42)</f>
        <v>19</v>
      </c>
      <c r="C42" s="53"/>
      <c r="D42" s="53"/>
      <c r="E42" s="53"/>
      <c r="F42" s="53"/>
      <c r="G42" s="20"/>
      <c r="H42" s="21"/>
      <c r="I42" s="21"/>
      <c r="J42" s="22"/>
      <c r="K42" s="21"/>
    </row>
    <row r="43" spans="1:11">
      <c r="A43" s="50"/>
      <c r="B43" s="52"/>
      <c r="C43" s="54"/>
      <c r="D43" s="54"/>
      <c r="E43" s="54"/>
      <c r="F43" s="54"/>
      <c r="G43" s="23"/>
      <c r="H43" s="24"/>
      <c r="I43" s="24"/>
      <c r="J43" s="25"/>
      <c r="K43" s="24"/>
    </row>
    <row r="44" spans="1:11">
      <c r="A44" s="49">
        <f t="shared" ref="A44" si="26">IF(A42="","",A42+1)</f>
        <v>20</v>
      </c>
      <c r="B44" s="51">
        <f t="shared" ref="B44" si="27">IF(A44="","",A44)</f>
        <v>20</v>
      </c>
      <c r="C44" s="53"/>
      <c r="D44" s="53"/>
      <c r="E44" s="53"/>
      <c r="F44" s="53"/>
      <c r="G44" s="20"/>
      <c r="H44" s="21"/>
      <c r="I44" s="21"/>
      <c r="J44" s="22"/>
      <c r="K44" s="21"/>
    </row>
    <row r="45" spans="1:11">
      <c r="A45" s="50"/>
      <c r="B45" s="52"/>
      <c r="C45" s="54"/>
      <c r="D45" s="54"/>
      <c r="E45" s="54"/>
      <c r="F45" s="54"/>
      <c r="G45" s="23"/>
      <c r="H45" s="24"/>
      <c r="I45" s="24"/>
      <c r="J45" s="25"/>
      <c r="K45" s="24"/>
    </row>
    <row r="46" spans="1:11">
      <c r="A46" s="49">
        <f t="shared" ref="A46" si="28">IF(A44="","",A44+1)</f>
        <v>21</v>
      </c>
      <c r="B46" s="51">
        <f t="shared" ref="B46" si="29">IF(A46="","",A46)</f>
        <v>21</v>
      </c>
      <c r="C46" s="53"/>
      <c r="D46" s="53"/>
      <c r="E46" s="53"/>
      <c r="F46" s="53"/>
      <c r="G46" s="20"/>
      <c r="H46" s="21"/>
      <c r="I46" s="21"/>
      <c r="J46" s="22"/>
      <c r="K46" s="21"/>
    </row>
    <row r="47" spans="1:11">
      <c r="A47" s="50"/>
      <c r="B47" s="52"/>
      <c r="C47" s="54"/>
      <c r="D47" s="54"/>
      <c r="E47" s="54"/>
      <c r="F47" s="54"/>
      <c r="G47" s="23"/>
      <c r="H47" s="24"/>
      <c r="I47" s="24"/>
      <c r="J47" s="25"/>
      <c r="K47" s="24"/>
    </row>
    <row r="48" spans="1:11">
      <c r="A48" s="49">
        <f t="shared" ref="A48" si="30">IF(A46="","",A46+1)</f>
        <v>22</v>
      </c>
      <c r="B48" s="51">
        <f t="shared" ref="B48" si="31">IF(A48="","",A48)</f>
        <v>22</v>
      </c>
      <c r="C48" s="53"/>
      <c r="D48" s="53"/>
      <c r="E48" s="53"/>
      <c r="F48" s="53"/>
      <c r="G48" s="20"/>
      <c r="H48" s="21"/>
      <c r="I48" s="21"/>
      <c r="J48" s="22"/>
      <c r="K48" s="21"/>
    </row>
    <row r="49" spans="1:11">
      <c r="A49" s="50"/>
      <c r="B49" s="52"/>
      <c r="C49" s="54"/>
      <c r="D49" s="54"/>
      <c r="E49" s="54"/>
      <c r="F49" s="54"/>
      <c r="G49" s="23"/>
      <c r="H49" s="24"/>
      <c r="I49" s="24"/>
      <c r="J49" s="25"/>
      <c r="K49" s="24"/>
    </row>
    <row r="50" spans="1:11">
      <c r="A50" s="49">
        <f t="shared" ref="A50" si="32">IF(A48="","",A48+1)</f>
        <v>23</v>
      </c>
      <c r="B50" s="51">
        <f t="shared" ref="B50" si="33">IF(A50="","",A50)</f>
        <v>23</v>
      </c>
      <c r="C50" s="53"/>
      <c r="D50" s="53"/>
      <c r="E50" s="53"/>
      <c r="F50" s="53"/>
      <c r="G50" s="20"/>
      <c r="H50" s="21"/>
      <c r="I50" s="21"/>
      <c r="J50" s="22"/>
      <c r="K50" s="21"/>
    </row>
    <row r="51" spans="1:11">
      <c r="A51" s="50"/>
      <c r="B51" s="52"/>
      <c r="C51" s="54"/>
      <c r="D51" s="54"/>
      <c r="E51" s="54"/>
      <c r="F51" s="54"/>
      <c r="G51" s="23"/>
      <c r="H51" s="24"/>
      <c r="I51" s="24"/>
      <c r="J51" s="25"/>
      <c r="K51" s="24"/>
    </row>
    <row r="52" spans="1:11">
      <c r="A52" s="49">
        <f t="shared" ref="A52" si="34">IF(A50="","",A50+1)</f>
        <v>24</v>
      </c>
      <c r="B52" s="51">
        <f t="shared" ref="B52" si="35">IF(A52="","",A52)</f>
        <v>24</v>
      </c>
      <c r="C52" s="53"/>
      <c r="D52" s="53"/>
      <c r="E52" s="53"/>
      <c r="F52" s="53"/>
      <c r="G52" s="20"/>
      <c r="H52" s="21"/>
      <c r="I52" s="21"/>
      <c r="J52" s="22"/>
      <c r="K52" s="21"/>
    </row>
    <row r="53" spans="1:11">
      <c r="A53" s="50"/>
      <c r="B53" s="52"/>
      <c r="C53" s="54"/>
      <c r="D53" s="54"/>
      <c r="E53" s="54"/>
      <c r="F53" s="54"/>
      <c r="G53" s="23"/>
      <c r="H53" s="24"/>
      <c r="I53" s="24"/>
      <c r="J53" s="25"/>
      <c r="K53" s="24"/>
    </row>
    <row r="54" spans="1:11">
      <c r="A54" s="49">
        <f t="shared" ref="A54" si="36">IF(A52="","",A52+1)</f>
        <v>25</v>
      </c>
      <c r="B54" s="51">
        <f t="shared" ref="B54" si="37">IF(A54="","",A54)</f>
        <v>25</v>
      </c>
      <c r="C54" s="53"/>
      <c r="D54" s="53"/>
      <c r="E54" s="53"/>
      <c r="F54" s="53"/>
      <c r="G54" s="20"/>
      <c r="H54" s="21"/>
      <c r="I54" s="21"/>
      <c r="J54" s="22"/>
      <c r="K54" s="21"/>
    </row>
    <row r="55" spans="1:11">
      <c r="A55" s="50"/>
      <c r="B55" s="52"/>
      <c r="C55" s="54"/>
      <c r="D55" s="54"/>
      <c r="E55" s="54"/>
      <c r="F55" s="54"/>
      <c r="G55" s="23"/>
      <c r="H55" s="24"/>
      <c r="I55" s="24"/>
      <c r="J55" s="25"/>
      <c r="K55" s="24"/>
    </row>
    <row r="56" spans="1:11">
      <c r="A56" s="49">
        <f>IF(A54="","",A54+1)</f>
        <v>26</v>
      </c>
      <c r="B56" s="51">
        <f t="shared" ref="B56" si="38">IF(A56="","",A56)</f>
        <v>26</v>
      </c>
      <c r="C56" s="53"/>
      <c r="D56" s="53"/>
      <c r="E56" s="53"/>
      <c r="F56" s="53"/>
      <c r="G56" s="20"/>
      <c r="H56" s="21"/>
      <c r="I56" s="21"/>
      <c r="J56" s="22"/>
      <c r="K56" s="21"/>
    </row>
    <row r="57" spans="1:11">
      <c r="A57" s="50"/>
      <c r="B57" s="52"/>
      <c r="C57" s="54"/>
      <c r="D57" s="54"/>
      <c r="E57" s="54"/>
      <c r="F57" s="54"/>
      <c r="G57" s="23"/>
      <c r="H57" s="24"/>
      <c r="I57" s="24"/>
      <c r="J57" s="25"/>
      <c r="K57" s="24"/>
    </row>
    <row r="58" spans="1:11">
      <c r="A58" s="49">
        <f t="shared" ref="A58" si="39">IF(A56="","",A56+1)</f>
        <v>27</v>
      </c>
      <c r="B58" s="51">
        <f t="shared" ref="B58" si="40">IF(A58="","",A58)</f>
        <v>27</v>
      </c>
      <c r="C58" s="53"/>
      <c r="D58" s="53"/>
      <c r="E58" s="53"/>
      <c r="F58" s="53"/>
      <c r="G58" s="20"/>
      <c r="H58" s="21"/>
      <c r="I58" s="21"/>
      <c r="J58" s="22"/>
      <c r="K58" s="21"/>
    </row>
    <row r="59" spans="1:11">
      <c r="A59" s="50"/>
      <c r="B59" s="52"/>
      <c r="C59" s="54"/>
      <c r="D59" s="54"/>
      <c r="E59" s="54"/>
      <c r="F59" s="54"/>
      <c r="G59" s="23"/>
      <c r="H59" s="24"/>
      <c r="I59" s="24"/>
      <c r="J59" s="25"/>
      <c r="K59" s="24"/>
    </row>
    <row r="60" spans="1:11">
      <c r="A60" s="49">
        <f t="shared" ref="A60" si="41">IF(A58="","",A58+1)</f>
        <v>28</v>
      </c>
      <c r="B60" s="51">
        <f t="shared" ref="B60" si="42">IF(A60="","",A60)</f>
        <v>28</v>
      </c>
      <c r="C60" s="53"/>
      <c r="D60" s="53"/>
      <c r="E60" s="53"/>
      <c r="F60" s="53"/>
      <c r="G60" s="20"/>
      <c r="H60" s="21"/>
      <c r="I60" s="21"/>
      <c r="J60" s="22"/>
      <c r="K60" s="21"/>
    </row>
    <row r="61" spans="1:11">
      <c r="A61" s="50"/>
      <c r="B61" s="52"/>
      <c r="C61" s="54"/>
      <c r="D61" s="54"/>
      <c r="E61" s="54"/>
      <c r="F61" s="54"/>
      <c r="G61" s="23"/>
      <c r="H61" s="24"/>
      <c r="I61" s="24"/>
      <c r="J61" s="25"/>
      <c r="K61" s="24"/>
    </row>
    <row r="62" spans="1:11">
      <c r="A62" s="49">
        <f>IF(OR(A60="",A60=EOMONTH($A$6,0)),"",A60+1)</f>
        <v>29</v>
      </c>
      <c r="B62" s="51">
        <f t="shared" ref="B62" si="43">IF(A62="","",A62)</f>
        <v>29</v>
      </c>
      <c r="C62" s="53"/>
      <c r="D62" s="53"/>
      <c r="E62" s="53"/>
      <c r="F62" s="53"/>
      <c r="G62" s="20"/>
      <c r="H62" s="21"/>
      <c r="I62" s="21"/>
      <c r="J62" s="22"/>
      <c r="K62" s="21"/>
    </row>
    <row r="63" spans="1:11">
      <c r="A63" s="50"/>
      <c r="B63" s="52"/>
      <c r="C63" s="54"/>
      <c r="D63" s="54"/>
      <c r="E63" s="54"/>
      <c r="F63" s="54"/>
      <c r="G63" s="23"/>
      <c r="H63" s="24"/>
      <c r="I63" s="24"/>
      <c r="J63" s="25"/>
      <c r="K63" s="24"/>
    </row>
    <row r="64" spans="1:11">
      <c r="A64" s="49">
        <f>IF(OR(A62="",A62=EOMONTH($A$6,0)),"",A62+1)</f>
        <v>30</v>
      </c>
      <c r="B64" s="51">
        <f t="shared" ref="B64" si="44">IF(A64="","",A64)</f>
        <v>30</v>
      </c>
      <c r="C64" s="53"/>
      <c r="D64" s="53"/>
      <c r="E64" s="53"/>
      <c r="F64" s="53"/>
      <c r="G64" s="20"/>
      <c r="H64" s="21"/>
      <c r="I64" s="21"/>
      <c r="J64" s="22"/>
      <c r="K64" s="21"/>
    </row>
    <row r="65" spans="1:11">
      <c r="A65" s="50"/>
      <c r="B65" s="52"/>
      <c r="C65" s="54"/>
      <c r="D65" s="54"/>
      <c r="E65" s="54"/>
      <c r="F65" s="54"/>
      <c r="G65" s="23"/>
      <c r="H65" s="24"/>
      <c r="I65" s="24"/>
      <c r="J65" s="25"/>
      <c r="K65" s="24"/>
    </row>
    <row r="66" spans="1:11">
      <c r="A66" s="49">
        <f>IF(OR(A64="",A64=EOMONTH($A$6,0)),"",A64+1)</f>
        <v>31</v>
      </c>
      <c r="B66" s="51">
        <f t="shared" ref="B66" si="45">IF(A66="","",A66)</f>
        <v>31</v>
      </c>
      <c r="C66" s="53"/>
      <c r="D66" s="53"/>
      <c r="E66" s="53"/>
      <c r="F66" s="53"/>
      <c r="G66" s="20"/>
      <c r="H66" s="21"/>
      <c r="I66" s="21"/>
      <c r="J66" s="22"/>
      <c r="K66" s="21"/>
    </row>
    <row r="67" spans="1:11">
      <c r="A67" s="50"/>
      <c r="B67" s="52"/>
      <c r="C67" s="54"/>
      <c r="D67" s="54"/>
      <c r="E67" s="54"/>
      <c r="F67" s="54"/>
      <c r="G67" s="23"/>
      <c r="H67" s="24"/>
      <c r="I67" s="24"/>
      <c r="J67" s="25"/>
      <c r="K67" s="24"/>
    </row>
    <row r="68" spans="1:11">
      <c r="C68" s="13" t="s">
        <v>35</v>
      </c>
      <c r="D68" s="14" t="s">
        <v>9</v>
      </c>
      <c r="E68" s="37">
        <f>SUM(E6:E67)</f>
        <v>0</v>
      </c>
      <c r="F68" s="37">
        <f>SUM(F6:F67)</f>
        <v>0</v>
      </c>
      <c r="I68" s="6" t="s">
        <v>9</v>
      </c>
      <c r="J68" s="5">
        <f>SUM(J6:J67)</f>
        <v>0</v>
      </c>
    </row>
    <row r="69" spans="1:11">
      <c r="D69" s="18" t="s">
        <v>54</v>
      </c>
      <c r="E69" s="36">
        <v>0</v>
      </c>
    </row>
  </sheetData>
  <dataConsolidate/>
  <mergeCells count="188">
    <mergeCell ref="F60:F61"/>
    <mergeCell ref="F62:F63"/>
    <mergeCell ref="F64:F65"/>
    <mergeCell ref="F66:F67"/>
    <mergeCell ref="F42:F43"/>
    <mergeCell ref="F44:F45"/>
    <mergeCell ref="F46:F47"/>
    <mergeCell ref="F48:F49"/>
    <mergeCell ref="F50:F51"/>
    <mergeCell ref="F52:F53"/>
    <mergeCell ref="F54:F55"/>
    <mergeCell ref="F56:F57"/>
    <mergeCell ref="F58:F59"/>
    <mergeCell ref="F24:F25"/>
    <mergeCell ref="F26:F27"/>
    <mergeCell ref="F28:F29"/>
    <mergeCell ref="F30:F31"/>
    <mergeCell ref="F32:F33"/>
    <mergeCell ref="F34:F35"/>
    <mergeCell ref="F36:F37"/>
    <mergeCell ref="F38:F39"/>
    <mergeCell ref="F40:F41"/>
    <mergeCell ref="F6:F7"/>
    <mergeCell ref="F8:F9"/>
    <mergeCell ref="F10:F11"/>
    <mergeCell ref="F12:F13"/>
    <mergeCell ref="F14:F15"/>
    <mergeCell ref="F16:F17"/>
    <mergeCell ref="F18:F19"/>
    <mergeCell ref="F20:F21"/>
    <mergeCell ref="F22:F23"/>
    <mergeCell ref="E6:E7"/>
    <mergeCell ref="A8:A9"/>
    <mergeCell ref="B8:B9"/>
    <mergeCell ref="C8:C9"/>
    <mergeCell ref="D8:D9"/>
    <mergeCell ref="E8:E9"/>
    <mergeCell ref="B1:C1"/>
    <mergeCell ref="B2:C2"/>
    <mergeCell ref="A6:A7"/>
    <mergeCell ref="B6:B7"/>
    <mergeCell ref="C6:C7"/>
    <mergeCell ref="D6:D7"/>
    <mergeCell ref="A10:A11"/>
    <mergeCell ref="B10:B11"/>
    <mergeCell ref="C10:C11"/>
    <mergeCell ref="D10:D11"/>
    <mergeCell ref="E10:E11"/>
    <mergeCell ref="A12:A13"/>
    <mergeCell ref="B12:B13"/>
    <mergeCell ref="C12:C13"/>
    <mergeCell ref="D12:D13"/>
    <mergeCell ref="E12:E13"/>
    <mergeCell ref="A14:A15"/>
    <mergeCell ref="B14:B15"/>
    <mergeCell ref="C14:C15"/>
    <mergeCell ref="D14:D15"/>
    <mergeCell ref="E14:E15"/>
    <mergeCell ref="A16:A17"/>
    <mergeCell ref="B16:B17"/>
    <mergeCell ref="C16:C17"/>
    <mergeCell ref="D16:D17"/>
    <mergeCell ref="E16:E17"/>
    <mergeCell ref="A18:A19"/>
    <mergeCell ref="B18:B19"/>
    <mergeCell ref="C18:C19"/>
    <mergeCell ref="D18:D19"/>
    <mergeCell ref="E18:E19"/>
    <mergeCell ref="A20:A21"/>
    <mergeCell ref="B20:B21"/>
    <mergeCell ref="C20:C21"/>
    <mergeCell ref="D20:D21"/>
    <mergeCell ref="E20:E21"/>
    <mergeCell ref="A22:A23"/>
    <mergeCell ref="B22:B23"/>
    <mergeCell ref="C22:C23"/>
    <mergeCell ref="D22:D23"/>
    <mergeCell ref="E22:E23"/>
    <mergeCell ref="A24:A25"/>
    <mergeCell ref="B24:B25"/>
    <mergeCell ref="C24:C25"/>
    <mergeCell ref="D24:D25"/>
    <mergeCell ref="E24:E25"/>
    <mergeCell ref="A26:A27"/>
    <mergeCell ref="B26:B27"/>
    <mergeCell ref="C26:C27"/>
    <mergeCell ref="D26:D27"/>
    <mergeCell ref="E26:E27"/>
    <mergeCell ref="A28:A29"/>
    <mergeCell ref="B28:B29"/>
    <mergeCell ref="C28:C29"/>
    <mergeCell ref="D28:D29"/>
    <mergeCell ref="E28:E29"/>
    <mergeCell ref="A30:A31"/>
    <mergeCell ref="B30:B31"/>
    <mergeCell ref="C30:C31"/>
    <mergeCell ref="D30:D31"/>
    <mergeCell ref="E30:E31"/>
    <mergeCell ref="A32:A33"/>
    <mergeCell ref="B32:B33"/>
    <mergeCell ref="C32:C33"/>
    <mergeCell ref="D32:D33"/>
    <mergeCell ref="E32:E33"/>
    <mergeCell ref="A34:A35"/>
    <mergeCell ref="B34:B35"/>
    <mergeCell ref="C34:C35"/>
    <mergeCell ref="D34:D35"/>
    <mergeCell ref="E34:E35"/>
    <mergeCell ref="A36:A37"/>
    <mergeCell ref="B36:B37"/>
    <mergeCell ref="C36:C37"/>
    <mergeCell ref="D36:D37"/>
    <mergeCell ref="E36:E37"/>
    <mergeCell ref="A38:A39"/>
    <mergeCell ref="B38:B39"/>
    <mergeCell ref="C38:C39"/>
    <mergeCell ref="D38:D39"/>
    <mergeCell ref="E38:E39"/>
    <mergeCell ref="A40:A41"/>
    <mergeCell ref="B40:B41"/>
    <mergeCell ref="C40:C41"/>
    <mergeCell ref="D40:D41"/>
    <mergeCell ref="E40:E41"/>
    <mergeCell ref="A42:A43"/>
    <mergeCell ref="B42:B43"/>
    <mergeCell ref="C42:C43"/>
    <mergeCell ref="D42:D43"/>
    <mergeCell ref="E42:E43"/>
    <mergeCell ref="A44:A45"/>
    <mergeCell ref="B44:B45"/>
    <mergeCell ref="C44:C45"/>
    <mergeCell ref="D44:D45"/>
    <mergeCell ref="E44:E45"/>
    <mergeCell ref="A46:A47"/>
    <mergeCell ref="B46:B47"/>
    <mergeCell ref="C46:C47"/>
    <mergeCell ref="D46:D47"/>
    <mergeCell ref="E46:E47"/>
    <mergeCell ref="A48:A49"/>
    <mergeCell ref="B48:B49"/>
    <mergeCell ref="C48:C49"/>
    <mergeCell ref="D48:D49"/>
    <mergeCell ref="E48:E49"/>
    <mergeCell ref="A50:A51"/>
    <mergeCell ref="B50:B51"/>
    <mergeCell ref="C50:C51"/>
    <mergeCell ref="D50:D51"/>
    <mergeCell ref="E50:E51"/>
    <mergeCell ref="A52:A53"/>
    <mergeCell ref="B52:B53"/>
    <mergeCell ref="C52:C53"/>
    <mergeCell ref="D52:D53"/>
    <mergeCell ref="E52:E53"/>
    <mergeCell ref="A54:A55"/>
    <mergeCell ref="B54:B55"/>
    <mergeCell ref="C54:C55"/>
    <mergeCell ref="D54:D55"/>
    <mergeCell ref="E54:E55"/>
    <mergeCell ref="A56:A57"/>
    <mergeCell ref="B56:B57"/>
    <mergeCell ref="C56:C57"/>
    <mergeCell ref="D56:D57"/>
    <mergeCell ref="E56:E57"/>
    <mergeCell ref="A58:A59"/>
    <mergeCell ref="B58:B59"/>
    <mergeCell ref="C58:C59"/>
    <mergeCell ref="D58:D59"/>
    <mergeCell ref="E58:E59"/>
    <mergeCell ref="A60:A61"/>
    <mergeCell ref="B60:B61"/>
    <mergeCell ref="C60:C61"/>
    <mergeCell ref="D60:D61"/>
    <mergeCell ref="E60:E61"/>
    <mergeCell ref="A66:A67"/>
    <mergeCell ref="B66:B67"/>
    <mergeCell ref="C66:C67"/>
    <mergeCell ref="D66:D67"/>
    <mergeCell ref="E66:E67"/>
    <mergeCell ref="A62:A63"/>
    <mergeCell ref="B62:B63"/>
    <mergeCell ref="C62:C63"/>
    <mergeCell ref="D62:D63"/>
    <mergeCell ref="E62:E63"/>
    <mergeCell ref="A64:A65"/>
    <mergeCell ref="B64:B65"/>
    <mergeCell ref="C64:C65"/>
    <mergeCell ref="D64:D65"/>
    <mergeCell ref="E64:E65"/>
  </mergeCells>
  <phoneticPr fontId="2"/>
  <dataValidations count="6">
    <dataValidation type="whole" imeMode="disabled" allowBlank="1" showInputMessage="1" showErrorMessage="1" sqref="B2:C2">
      <formula1>1</formula1>
      <formula2>12</formula2>
    </dataValidation>
    <dataValidation type="whole" imeMode="disabled" allowBlank="1" showInputMessage="1" showErrorMessage="1" sqref="B1:C1">
      <formula1>1900</formula1>
      <formula2>9999</formula2>
    </dataValidation>
    <dataValidation imeMode="disabled" allowBlank="1" showInputMessage="1" showErrorMessage="1" sqref="J6:J67 E6:F67"/>
    <dataValidation type="list" allowBlank="1" showInputMessage="1" showErrorMessage="1" sqref="G6:G67">
      <formula1>作業場所リスト</formula1>
    </dataValidation>
    <dataValidation type="decimal" imeMode="disabled" allowBlank="1" showInputMessage="1" showErrorMessage="1" sqref="C6:D67">
      <formula1>0</formula1>
      <formula2>2</formula2>
    </dataValidation>
    <dataValidation type="list" allowBlank="1" showInputMessage="1" sqref="H6:H67">
      <formula1>案件リスト</formula1>
    </dataValidation>
  </dataValidations>
  <pageMargins left="0.19685039370078741" right="0.19685039370078741" top="0.39370078740157483" bottom="0.39370078740157483" header="0.19685039370078741" footer="0.19685039370078741"/>
  <pageSetup paperSize="9" scale="64" orientation="landscape" r:id="rId1"/>
  <headerFooter>
    <oddHeader>&amp;R&amp;F</oddHeader>
    <oddFooter>&amp;P / &amp;N ページ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addRow">
                <anchor moveWithCells="1" sizeWithCells="1">
                  <from>
                    <xdr:col>11</xdr:col>
                    <xdr:colOff>9525</xdr:colOff>
                    <xdr:row>6</xdr:row>
                    <xdr:rowOff>9525</xdr:rowOff>
                  </from>
                  <to>
                    <xdr:col>11</xdr:col>
                    <xdr:colOff>190500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0" r:id="rId5" name="Button 110">
              <controlPr defaultSize="0" print="0" autoFill="0" autoPict="0" macro="[0]!addRow">
                <anchor moveWithCells="1" sizeWithCells="1">
                  <from>
                    <xdr:col>11</xdr:col>
                    <xdr:colOff>9525</xdr:colOff>
                    <xdr:row>8</xdr:row>
                    <xdr:rowOff>9525</xdr:rowOff>
                  </from>
                  <to>
                    <xdr:col>11</xdr:col>
                    <xdr:colOff>190500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1" r:id="rId6" name="Button 111">
              <controlPr defaultSize="0" print="0" autoFill="0" autoPict="0" macro="[0]!addRow">
                <anchor moveWithCells="1" sizeWithCells="1">
                  <from>
                    <xdr:col>11</xdr:col>
                    <xdr:colOff>9525</xdr:colOff>
                    <xdr:row>10</xdr:row>
                    <xdr:rowOff>9525</xdr:rowOff>
                  </from>
                  <to>
                    <xdr:col>11</xdr:col>
                    <xdr:colOff>190500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2" r:id="rId7" name="Button 112">
              <controlPr defaultSize="0" print="0" autoFill="0" autoPict="0" macro="[0]!addRow">
                <anchor moveWithCells="1" sizeWithCells="1">
                  <from>
                    <xdr:col>11</xdr:col>
                    <xdr:colOff>9525</xdr:colOff>
                    <xdr:row>12</xdr:row>
                    <xdr:rowOff>9525</xdr:rowOff>
                  </from>
                  <to>
                    <xdr:col>11</xdr:col>
                    <xdr:colOff>190500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3" r:id="rId8" name="Button 113">
              <controlPr defaultSize="0" print="0" autoFill="0" autoPict="0" macro="[0]!addRow">
                <anchor moveWithCells="1" sizeWithCells="1">
                  <from>
                    <xdr:col>11</xdr:col>
                    <xdr:colOff>9525</xdr:colOff>
                    <xdr:row>14</xdr:row>
                    <xdr:rowOff>9525</xdr:rowOff>
                  </from>
                  <to>
                    <xdr:col>11</xdr:col>
                    <xdr:colOff>190500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4" r:id="rId9" name="Button 114">
              <controlPr defaultSize="0" print="0" autoFill="0" autoPict="0" macro="[0]!addRow">
                <anchor moveWithCells="1" sizeWithCells="1">
                  <from>
                    <xdr:col>11</xdr:col>
                    <xdr:colOff>9525</xdr:colOff>
                    <xdr:row>16</xdr:row>
                    <xdr:rowOff>9525</xdr:rowOff>
                  </from>
                  <to>
                    <xdr:col>11</xdr:col>
                    <xdr:colOff>190500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5" r:id="rId10" name="Button 115">
              <controlPr defaultSize="0" print="0" autoFill="0" autoPict="0" macro="[0]!addRow">
                <anchor moveWithCells="1" sizeWithCells="1">
                  <from>
                    <xdr:col>11</xdr:col>
                    <xdr:colOff>9525</xdr:colOff>
                    <xdr:row>18</xdr:row>
                    <xdr:rowOff>9525</xdr:rowOff>
                  </from>
                  <to>
                    <xdr:col>11</xdr:col>
                    <xdr:colOff>190500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6" r:id="rId11" name="Button 116">
              <controlPr defaultSize="0" print="0" autoFill="0" autoPict="0" macro="[0]!addRow">
                <anchor moveWithCells="1" sizeWithCells="1">
                  <from>
                    <xdr:col>11</xdr:col>
                    <xdr:colOff>9525</xdr:colOff>
                    <xdr:row>20</xdr:row>
                    <xdr:rowOff>9525</xdr:rowOff>
                  </from>
                  <to>
                    <xdr:col>11</xdr:col>
                    <xdr:colOff>190500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7" r:id="rId12" name="Button 117">
              <controlPr defaultSize="0" print="0" autoFill="0" autoPict="0" macro="[0]!addRow">
                <anchor moveWithCells="1" sizeWithCells="1">
                  <from>
                    <xdr:col>11</xdr:col>
                    <xdr:colOff>9525</xdr:colOff>
                    <xdr:row>22</xdr:row>
                    <xdr:rowOff>9525</xdr:rowOff>
                  </from>
                  <to>
                    <xdr:col>11</xdr:col>
                    <xdr:colOff>190500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8" r:id="rId13" name="Button 118">
              <controlPr defaultSize="0" print="0" autoFill="0" autoPict="0" macro="[0]!addRow">
                <anchor moveWithCells="1" sizeWithCells="1">
                  <from>
                    <xdr:col>11</xdr:col>
                    <xdr:colOff>9525</xdr:colOff>
                    <xdr:row>24</xdr:row>
                    <xdr:rowOff>9525</xdr:rowOff>
                  </from>
                  <to>
                    <xdr:col>11</xdr:col>
                    <xdr:colOff>190500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9" r:id="rId14" name="Button 119">
              <controlPr defaultSize="0" print="0" autoFill="0" autoPict="0" macro="[0]!addRow">
                <anchor moveWithCells="1" sizeWithCells="1">
                  <from>
                    <xdr:col>11</xdr:col>
                    <xdr:colOff>9525</xdr:colOff>
                    <xdr:row>26</xdr:row>
                    <xdr:rowOff>9525</xdr:rowOff>
                  </from>
                  <to>
                    <xdr:col>11</xdr:col>
                    <xdr:colOff>190500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0" r:id="rId15" name="Button 120">
              <controlPr defaultSize="0" print="0" autoFill="0" autoPict="0" macro="[0]!addRow">
                <anchor moveWithCells="1" sizeWithCells="1">
                  <from>
                    <xdr:col>11</xdr:col>
                    <xdr:colOff>9525</xdr:colOff>
                    <xdr:row>28</xdr:row>
                    <xdr:rowOff>9525</xdr:rowOff>
                  </from>
                  <to>
                    <xdr:col>11</xdr:col>
                    <xdr:colOff>190500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1" r:id="rId16" name="Button 121">
              <controlPr defaultSize="0" print="0" autoFill="0" autoPict="0" macro="[0]!addRow">
                <anchor moveWithCells="1" sizeWithCells="1">
                  <from>
                    <xdr:col>11</xdr:col>
                    <xdr:colOff>9525</xdr:colOff>
                    <xdr:row>30</xdr:row>
                    <xdr:rowOff>9525</xdr:rowOff>
                  </from>
                  <to>
                    <xdr:col>11</xdr:col>
                    <xdr:colOff>190500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2" r:id="rId17" name="Button 122">
              <controlPr defaultSize="0" print="0" autoFill="0" autoPict="0" macro="[0]!addRow">
                <anchor moveWithCells="1" sizeWithCells="1">
                  <from>
                    <xdr:col>11</xdr:col>
                    <xdr:colOff>9525</xdr:colOff>
                    <xdr:row>32</xdr:row>
                    <xdr:rowOff>9525</xdr:rowOff>
                  </from>
                  <to>
                    <xdr:col>11</xdr:col>
                    <xdr:colOff>190500</xdr:colOff>
                    <xdr:row>32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3" r:id="rId18" name="Button 123">
              <controlPr defaultSize="0" print="0" autoFill="0" autoPict="0" macro="[0]!addRow">
                <anchor moveWithCells="1" sizeWithCells="1">
                  <from>
                    <xdr:col>11</xdr:col>
                    <xdr:colOff>9525</xdr:colOff>
                    <xdr:row>34</xdr:row>
                    <xdr:rowOff>9525</xdr:rowOff>
                  </from>
                  <to>
                    <xdr:col>11</xdr:col>
                    <xdr:colOff>190500</xdr:colOff>
                    <xdr:row>34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4" r:id="rId19" name="Button 124">
              <controlPr defaultSize="0" print="0" autoFill="0" autoPict="0" macro="[0]!addRow">
                <anchor moveWithCells="1" sizeWithCells="1">
                  <from>
                    <xdr:col>11</xdr:col>
                    <xdr:colOff>9525</xdr:colOff>
                    <xdr:row>36</xdr:row>
                    <xdr:rowOff>9525</xdr:rowOff>
                  </from>
                  <to>
                    <xdr:col>11</xdr:col>
                    <xdr:colOff>190500</xdr:colOff>
                    <xdr:row>36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5" r:id="rId20" name="Button 125">
              <controlPr defaultSize="0" print="0" autoFill="0" autoPict="0" macro="[0]!addRow">
                <anchor moveWithCells="1" sizeWithCells="1">
                  <from>
                    <xdr:col>11</xdr:col>
                    <xdr:colOff>9525</xdr:colOff>
                    <xdr:row>38</xdr:row>
                    <xdr:rowOff>9525</xdr:rowOff>
                  </from>
                  <to>
                    <xdr:col>11</xdr:col>
                    <xdr:colOff>190500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6" r:id="rId21" name="Button 126">
              <controlPr defaultSize="0" print="0" autoFill="0" autoPict="0" macro="[0]!addRow">
                <anchor moveWithCells="1" sizeWithCells="1">
                  <from>
                    <xdr:col>11</xdr:col>
                    <xdr:colOff>9525</xdr:colOff>
                    <xdr:row>40</xdr:row>
                    <xdr:rowOff>9525</xdr:rowOff>
                  </from>
                  <to>
                    <xdr:col>11</xdr:col>
                    <xdr:colOff>190500</xdr:colOff>
                    <xdr:row>40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7" r:id="rId22" name="Button 127">
              <controlPr defaultSize="0" print="0" autoFill="0" autoPict="0" macro="[0]!addRow">
                <anchor moveWithCells="1" sizeWithCells="1">
                  <from>
                    <xdr:col>11</xdr:col>
                    <xdr:colOff>9525</xdr:colOff>
                    <xdr:row>42</xdr:row>
                    <xdr:rowOff>9525</xdr:rowOff>
                  </from>
                  <to>
                    <xdr:col>11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8" r:id="rId23" name="Button 128">
              <controlPr defaultSize="0" print="0" autoFill="0" autoPict="0" macro="[0]!addRow">
                <anchor moveWithCells="1" sizeWithCells="1">
                  <from>
                    <xdr:col>11</xdr:col>
                    <xdr:colOff>9525</xdr:colOff>
                    <xdr:row>44</xdr:row>
                    <xdr:rowOff>9525</xdr:rowOff>
                  </from>
                  <to>
                    <xdr:col>11</xdr:col>
                    <xdr:colOff>190500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9" r:id="rId24" name="Button 129">
              <controlPr defaultSize="0" print="0" autoFill="0" autoPict="0" macro="[0]!addRow">
                <anchor moveWithCells="1" sizeWithCells="1">
                  <from>
                    <xdr:col>11</xdr:col>
                    <xdr:colOff>9525</xdr:colOff>
                    <xdr:row>46</xdr:row>
                    <xdr:rowOff>9525</xdr:rowOff>
                  </from>
                  <to>
                    <xdr:col>11</xdr:col>
                    <xdr:colOff>190500</xdr:colOff>
                    <xdr:row>46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0" r:id="rId25" name="Button 130">
              <controlPr defaultSize="0" print="0" autoFill="0" autoPict="0" macro="[0]!addRow">
                <anchor moveWithCells="1" sizeWithCells="1">
                  <from>
                    <xdr:col>11</xdr:col>
                    <xdr:colOff>9525</xdr:colOff>
                    <xdr:row>48</xdr:row>
                    <xdr:rowOff>9525</xdr:rowOff>
                  </from>
                  <to>
                    <xdr:col>11</xdr:col>
                    <xdr:colOff>190500</xdr:colOff>
                    <xdr:row>48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1" r:id="rId26" name="Button 131">
              <controlPr defaultSize="0" print="0" autoFill="0" autoPict="0" macro="[0]!addRow">
                <anchor moveWithCells="1" sizeWithCells="1">
                  <from>
                    <xdr:col>11</xdr:col>
                    <xdr:colOff>9525</xdr:colOff>
                    <xdr:row>50</xdr:row>
                    <xdr:rowOff>9525</xdr:rowOff>
                  </from>
                  <to>
                    <xdr:col>11</xdr:col>
                    <xdr:colOff>190500</xdr:colOff>
                    <xdr:row>50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2" r:id="rId27" name="Button 132">
              <controlPr defaultSize="0" print="0" autoFill="0" autoPict="0" macro="[0]!addRow">
                <anchor moveWithCells="1" sizeWithCells="1">
                  <from>
                    <xdr:col>11</xdr:col>
                    <xdr:colOff>9525</xdr:colOff>
                    <xdr:row>52</xdr:row>
                    <xdr:rowOff>9525</xdr:rowOff>
                  </from>
                  <to>
                    <xdr:col>11</xdr:col>
                    <xdr:colOff>190500</xdr:colOff>
                    <xdr:row>52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3" r:id="rId28" name="Button 133">
              <controlPr defaultSize="0" print="0" autoFill="0" autoPict="0" macro="[0]!addRow">
                <anchor moveWithCells="1" sizeWithCells="1">
                  <from>
                    <xdr:col>11</xdr:col>
                    <xdr:colOff>9525</xdr:colOff>
                    <xdr:row>54</xdr:row>
                    <xdr:rowOff>9525</xdr:rowOff>
                  </from>
                  <to>
                    <xdr:col>11</xdr:col>
                    <xdr:colOff>190500</xdr:colOff>
                    <xdr:row>54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4" r:id="rId29" name="Button 134">
              <controlPr defaultSize="0" print="0" autoFill="0" autoPict="0" macro="[0]!addRow">
                <anchor moveWithCells="1" sizeWithCells="1">
                  <from>
                    <xdr:col>11</xdr:col>
                    <xdr:colOff>9525</xdr:colOff>
                    <xdr:row>56</xdr:row>
                    <xdr:rowOff>9525</xdr:rowOff>
                  </from>
                  <to>
                    <xdr:col>11</xdr:col>
                    <xdr:colOff>190500</xdr:colOff>
                    <xdr:row>56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5" r:id="rId30" name="Button 135">
              <controlPr defaultSize="0" print="0" autoFill="0" autoPict="0" macro="[0]!addRow">
                <anchor moveWithCells="1" sizeWithCells="1">
                  <from>
                    <xdr:col>11</xdr:col>
                    <xdr:colOff>9525</xdr:colOff>
                    <xdr:row>58</xdr:row>
                    <xdr:rowOff>9525</xdr:rowOff>
                  </from>
                  <to>
                    <xdr:col>11</xdr:col>
                    <xdr:colOff>190500</xdr:colOff>
                    <xdr:row>58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6" r:id="rId31" name="Button 136">
              <controlPr defaultSize="0" print="0" autoFill="0" autoPict="0" macro="[0]!addRow">
                <anchor moveWithCells="1" sizeWithCells="1">
                  <from>
                    <xdr:col>11</xdr:col>
                    <xdr:colOff>9525</xdr:colOff>
                    <xdr:row>60</xdr:row>
                    <xdr:rowOff>9525</xdr:rowOff>
                  </from>
                  <to>
                    <xdr:col>11</xdr:col>
                    <xdr:colOff>190500</xdr:colOff>
                    <xdr:row>60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7" r:id="rId32" name="Button 137">
              <controlPr defaultSize="0" print="0" autoFill="0" autoPict="0" macro="[0]!addRow">
                <anchor moveWithCells="1" sizeWithCells="1">
                  <from>
                    <xdr:col>11</xdr:col>
                    <xdr:colOff>9525</xdr:colOff>
                    <xdr:row>62</xdr:row>
                    <xdr:rowOff>9525</xdr:rowOff>
                  </from>
                  <to>
                    <xdr:col>11</xdr:col>
                    <xdr:colOff>190500</xdr:colOff>
                    <xdr:row>62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8" r:id="rId33" name="Button 138">
              <controlPr defaultSize="0" print="0" autoFill="0" autoPict="0" macro="[0]!addRow">
                <anchor moveWithCells="1" sizeWithCells="1">
                  <from>
                    <xdr:col>11</xdr:col>
                    <xdr:colOff>9525</xdr:colOff>
                    <xdr:row>64</xdr:row>
                    <xdr:rowOff>9525</xdr:rowOff>
                  </from>
                  <to>
                    <xdr:col>11</xdr:col>
                    <xdr:colOff>190500</xdr:colOff>
                    <xdr:row>64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9" r:id="rId34" name="Button 139">
              <controlPr defaultSize="0" print="0" autoFill="0" autoPict="0" macro="[0]!addRow">
                <anchor moveWithCells="1" sizeWithCells="1">
                  <from>
                    <xdr:col>11</xdr:col>
                    <xdr:colOff>9525</xdr:colOff>
                    <xdr:row>66</xdr:row>
                    <xdr:rowOff>9525</xdr:rowOff>
                  </from>
                  <to>
                    <xdr:col>11</xdr:col>
                    <xdr:colOff>190500</xdr:colOff>
                    <xdr:row>66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>
    <pageSetUpPr fitToPage="1"/>
  </sheetPr>
  <dimension ref="A1:AJ55"/>
  <sheetViews>
    <sheetView zoomScaleNormal="100" workbookViewId="0"/>
  </sheetViews>
  <sheetFormatPr defaultColWidth="2.7109375" defaultRowHeight="12"/>
  <cols>
    <col min="1" max="16384" width="2.7109375" style="1"/>
  </cols>
  <sheetData>
    <row r="1" spans="1:36">
      <c r="A1" s="2" t="s">
        <v>1</v>
      </c>
      <c r="B1" s="57"/>
      <c r="C1" s="71"/>
      <c r="D1" s="58"/>
    </row>
    <row r="2" spans="1:36">
      <c r="A2" s="2" t="s">
        <v>2</v>
      </c>
      <c r="B2" s="57"/>
      <c r="C2" s="71"/>
      <c r="D2" s="58"/>
    </row>
    <row r="3" spans="1:36" ht="6" customHeight="1"/>
    <row r="6" spans="1:36" ht="6" customHeight="1"/>
    <row r="9" spans="1:36">
      <c r="A9" s="72" t="s">
        <v>45</v>
      </c>
      <c r="B9" s="73"/>
      <c r="C9" s="73"/>
      <c r="D9" s="73"/>
      <c r="E9" s="73"/>
      <c r="F9" s="74"/>
      <c r="G9" s="67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  <c r="AA9" s="68"/>
      <c r="AB9" s="68"/>
      <c r="AC9" s="68"/>
      <c r="AD9" s="68"/>
      <c r="AE9" s="68"/>
      <c r="AF9" s="68"/>
      <c r="AG9" s="68"/>
      <c r="AH9" s="68"/>
      <c r="AI9" s="68"/>
      <c r="AJ9" s="69"/>
    </row>
    <row r="10" spans="1:36">
      <c r="A10" s="64" t="s">
        <v>46</v>
      </c>
      <c r="B10" s="65"/>
      <c r="C10" s="65"/>
      <c r="D10" s="65"/>
      <c r="E10" s="65"/>
      <c r="F10" s="66"/>
      <c r="G10" s="67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D10" s="68"/>
      <c r="AE10" s="68"/>
      <c r="AF10" s="68"/>
      <c r="AG10" s="68"/>
      <c r="AH10" s="68"/>
      <c r="AI10" s="68"/>
      <c r="AJ10" s="69"/>
    </row>
    <row r="11" spans="1:36">
      <c r="A11" s="64" t="s">
        <v>47</v>
      </c>
      <c r="B11" s="65"/>
      <c r="C11" s="65"/>
      <c r="D11" s="65"/>
      <c r="E11" s="65"/>
      <c r="F11" s="66"/>
      <c r="G11" s="67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  <c r="U11" s="68"/>
      <c r="V11" s="68"/>
      <c r="W11" s="68"/>
      <c r="X11" s="68"/>
      <c r="Y11" s="68"/>
      <c r="Z11" s="68"/>
      <c r="AA11" s="68"/>
      <c r="AB11" s="68"/>
      <c r="AC11" s="68"/>
      <c r="AD11" s="68"/>
      <c r="AE11" s="68"/>
      <c r="AF11" s="68"/>
      <c r="AG11" s="68"/>
      <c r="AH11" s="68"/>
      <c r="AI11" s="68"/>
      <c r="AJ11" s="69"/>
    </row>
    <row r="12" spans="1:36">
      <c r="A12" s="64" t="s">
        <v>48</v>
      </c>
      <c r="B12" s="65"/>
      <c r="C12" s="65"/>
      <c r="D12" s="65"/>
      <c r="E12" s="65"/>
      <c r="F12" s="66"/>
      <c r="G12" s="67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9"/>
    </row>
    <row r="13" spans="1:36">
      <c r="A13" s="64" t="s">
        <v>49</v>
      </c>
      <c r="B13" s="65"/>
      <c r="C13" s="65"/>
      <c r="D13" s="65"/>
      <c r="E13" s="65"/>
      <c r="F13" s="66"/>
      <c r="G13" s="67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  <c r="AJ13" s="69"/>
    </row>
    <row r="14" spans="1:36">
      <c r="A14" s="64" t="s">
        <v>50</v>
      </c>
      <c r="B14" s="65"/>
      <c r="C14" s="65"/>
      <c r="D14" s="65"/>
      <c r="E14" s="65"/>
      <c r="F14" s="66"/>
      <c r="G14" s="67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68"/>
      <c r="AG14" s="68"/>
      <c r="AH14" s="68"/>
      <c r="AI14" s="68"/>
      <c r="AJ14" s="69"/>
    </row>
    <row r="15" spans="1:36" ht="6" customHeight="1"/>
    <row r="18" spans="1:36" ht="6" customHeight="1"/>
    <row r="21" spans="1:36">
      <c r="A21" s="64" t="s">
        <v>55</v>
      </c>
      <c r="B21" s="66"/>
      <c r="C21" s="63"/>
      <c r="D21" s="63"/>
      <c r="E21" s="63"/>
      <c r="F21" s="63"/>
      <c r="G21" s="63"/>
      <c r="H21" s="63"/>
      <c r="I21" s="63"/>
      <c r="J21" s="63"/>
      <c r="K21" s="63"/>
      <c r="L21" s="63"/>
    </row>
    <row r="22" spans="1:36">
      <c r="A22" s="64" t="s">
        <v>56</v>
      </c>
      <c r="B22" s="66"/>
      <c r="C22" s="63"/>
      <c r="D22" s="63"/>
      <c r="E22" s="63"/>
      <c r="F22" s="63"/>
      <c r="G22" s="63"/>
      <c r="H22" s="63"/>
      <c r="I22" s="63"/>
      <c r="J22" s="63"/>
      <c r="K22" s="63"/>
      <c r="L22" s="63"/>
    </row>
    <row r="23" spans="1:36">
      <c r="A23" s="64" t="s">
        <v>57</v>
      </c>
      <c r="B23" s="66"/>
      <c r="C23" s="63"/>
      <c r="D23" s="63"/>
      <c r="E23" s="63"/>
      <c r="F23" s="63"/>
      <c r="G23" s="63"/>
      <c r="H23" s="63"/>
      <c r="I23" s="63"/>
      <c r="J23" s="63"/>
      <c r="K23" s="63"/>
      <c r="L23" s="63"/>
    </row>
    <row r="24" spans="1:36" ht="6" customHeight="1"/>
    <row r="25" spans="1:36">
      <c r="H25" s="1" t="s">
        <v>58</v>
      </c>
    </row>
    <row r="27" spans="1:36" ht="6" customHeight="1"/>
    <row r="30" spans="1:36">
      <c r="A30" s="64" t="s">
        <v>61</v>
      </c>
      <c r="B30" s="65"/>
      <c r="C30" s="65"/>
      <c r="D30" s="65"/>
      <c r="E30" s="65"/>
      <c r="F30" s="66"/>
      <c r="G30" s="70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8"/>
      <c r="AH30" s="68"/>
      <c r="AI30" s="68"/>
      <c r="AJ30" s="69"/>
    </row>
    <row r="31" spans="1:36">
      <c r="A31" s="64" t="s">
        <v>66</v>
      </c>
      <c r="B31" s="65"/>
      <c r="C31" s="65"/>
      <c r="D31" s="65"/>
      <c r="E31" s="65"/>
      <c r="F31" s="66"/>
      <c r="G31" s="67"/>
      <c r="H31" s="68"/>
      <c r="I31" s="68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  <c r="AC31" s="68"/>
      <c r="AD31" s="68"/>
      <c r="AE31" s="68"/>
      <c r="AF31" s="68"/>
      <c r="AG31" s="68"/>
      <c r="AH31" s="68"/>
      <c r="AI31" s="68"/>
      <c r="AJ31" s="69"/>
    </row>
    <row r="32" spans="1:36">
      <c r="A32" s="64" t="s">
        <v>67</v>
      </c>
      <c r="B32" s="65"/>
      <c r="C32" s="65"/>
      <c r="D32" s="65"/>
      <c r="E32" s="65"/>
      <c r="F32" s="66"/>
      <c r="G32" s="67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8"/>
      <c r="AB32" s="68"/>
      <c r="AC32" s="68"/>
      <c r="AD32" s="68"/>
      <c r="AE32" s="68"/>
      <c r="AF32" s="68"/>
      <c r="AG32" s="68"/>
      <c r="AH32" s="68"/>
      <c r="AI32" s="68"/>
      <c r="AJ32" s="69"/>
    </row>
    <row r="33" spans="1:36">
      <c r="A33" s="64" t="s">
        <v>68</v>
      </c>
      <c r="B33" s="65"/>
      <c r="C33" s="65"/>
      <c r="D33" s="65"/>
      <c r="E33" s="65"/>
      <c r="F33" s="66"/>
      <c r="G33" s="67"/>
      <c r="H33" s="68"/>
      <c r="I33" s="68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  <c r="AA33" s="68"/>
      <c r="AB33" s="68"/>
      <c r="AC33" s="68"/>
      <c r="AD33" s="68"/>
      <c r="AE33" s="68"/>
      <c r="AF33" s="68"/>
      <c r="AG33" s="68"/>
      <c r="AH33" s="68"/>
      <c r="AI33" s="68"/>
      <c r="AJ33" s="69"/>
    </row>
    <row r="34" spans="1:36">
      <c r="A34" s="64" t="s">
        <v>64</v>
      </c>
      <c r="B34" s="65"/>
      <c r="C34" s="65"/>
      <c r="D34" s="65"/>
      <c r="E34" s="65"/>
      <c r="F34" s="66"/>
      <c r="G34" s="67"/>
      <c r="H34" s="68"/>
      <c r="I34" s="68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  <c r="AA34" s="68"/>
      <c r="AB34" s="68"/>
      <c r="AC34" s="68"/>
      <c r="AD34" s="68"/>
      <c r="AE34" s="68"/>
      <c r="AF34" s="68"/>
      <c r="AG34" s="68"/>
      <c r="AH34" s="68"/>
      <c r="AI34" s="68"/>
      <c r="AJ34" s="69"/>
    </row>
    <row r="35" spans="1:36">
      <c r="A35" s="64" t="s">
        <v>65</v>
      </c>
      <c r="B35" s="65"/>
      <c r="C35" s="65"/>
      <c r="D35" s="65"/>
      <c r="E35" s="65"/>
      <c r="F35" s="66"/>
      <c r="G35" s="67"/>
      <c r="H35" s="68"/>
      <c r="I35" s="68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8"/>
      <c r="AB35" s="68"/>
      <c r="AC35" s="68"/>
      <c r="AD35" s="68"/>
      <c r="AE35" s="68"/>
      <c r="AF35" s="68"/>
      <c r="AG35" s="68"/>
      <c r="AH35" s="68"/>
      <c r="AI35" s="68"/>
      <c r="AJ35" s="69"/>
    </row>
    <row r="36" spans="1:36">
      <c r="A36" s="38" t="s">
        <v>62</v>
      </c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</row>
    <row r="37" spans="1:36" ht="6" customHeight="1"/>
    <row r="40" spans="1:36" ht="6" customHeight="1"/>
    <row r="41" spans="1:36">
      <c r="A41" s="38" t="s">
        <v>63</v>
      </c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</row>
    <row r="42" spans="1:36" ht="6" customHeight="1"/>
    <row r="45" spans="1:36" ht="6" customHeight="1"/>
    <row r="46" spans="1:36">
      <c r="A46" s="47" t="s">
        <v>70</v>
      </c>
    </row>
    <row r="47" spans="1:36" ht="6" customHeight="1"/>
    <row r="50" ht="6" customHeight="1"/>
    <row r="52" ht="6" customHeight="1"/>
    <row r="55" ht="6" customHeight="1"/>
  </sheetData>
  <mergeCells count="32">
    <mergeCell ref="G12:AJ12"/>
    <mergeCell ref="G13:AJ13"/>
    <mergeCell ref="G14:AJ14"/>
    <mergeCell ref="A9:F9"/>
    <mergeCell ref="A10:F10"/>
    <mergeCell ref="A11:F11"/>
    <mergeCell ref="A12:F12"/>
    <mergeCell ref="A13:F13"/>
    <mergeCell ref="A14:F14"/>
    <mergeCell ref="B1:D1"/>
    <mergeCell ref="B2:D2"/>
    <mergeCell ref="G9:AJ9"/>
    <mergeCell ref="G10:AJ10"/>
    <mergeCell ref="G11:AJ11"/>
    <mergeCell ref="A35:F35"/>
    <mergeCell ref="G35:AJ35"/>
    <mergeCell ref="A30:F30"/>
    <mergeCell ref="G30:AJ30"/>
    <mergeCell ref="A33:F33"/>
    <mergeCell ref="G33:AJ33"/>
    <mergeCell ref="A31:F31"/>
    <mergeCell ref="G31:AJ31"/>
    <mergeCell ref="A32:F32"/>
    <mergeCell ref="G32:AJ32"/>
    <mergeCell ref="C21:L21"/>
    <mergeCell ref="C22:L22"/>
    <mergeCell ref="C23:L23"/>
    <mergeCell ref="A34:F34"/>
    <mergeCell ref="G34:AJ34"/>
    <mergeCell ref="A21:B21"/>
    <mergeCell ref="A22:B22"/>
    <mergeCell ref="A23:B23"/>
  </mergeCells>
  <phoneticPr fontId="2"/>
  <dataValidations count="3">
    <dataValidation imeMode="disabled" allowBlank="1" showInputMessage="1" showErrorMessage="1" sqref="B1:D2"/>
    <dataValidation type="list" allowBlank="1" sqref="H13:AJ13">
      <formula1>"201601,201602,201603"</formula1>
    </dataValidation>
    <dataValidation type="list" allowBlank="1" sqref="G13">
      <formula1>"201801,201802,201803,201804,201805,201806,201807,201808,201809,201810"</formula1>
    </dataValidation>
  </dataValidations>
  <pageMargins left="0.19685039370078741" right="0.19685039370078741" top="0.39370078740157483" bottom="0.39370078740157483" header="0.19685039370078741" footer="0.19685039370078741"/>
  <pageSetup paperSize="9" fitToHeight="0" orientation="landscape" r:id="rId1"/>
  <headerFooter>
    <oddHeader>&amp;R&amp;F</oddHeader>
    <oddFooter>&amp;P / &amp;N ページ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createNewSheet">
                <anchor moveWithCells="1" siz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deleteShee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Button 3">
              <controlPr defaultSize="0" print="0" autoFill="0" autoPict="0" macro="[0]!outputRoster.outputRoster">
                <anchor moveWithCells="1" siz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7" name="Button 4">
              <controlPr defaultSize="0" print="0" autoFill="0" autoPict="0" macro="[0]!setTargetFile">
                <anchor moveWithCells="1" sizeWithCells="1">
                  <from>
                    <xdr:col>36</xdr:col>
                    <xdr:colOff>9525</xdr:colOff>
                    <xdr:row>13</xdr:row>
                    <xdr:rowOff>9525</xdr:rowOff>
                  </from>
                  <to>
                    <xdr:col>38</xdr:col>
                    <xdr:colOff>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8" name="Button 5">
              <controlPr defaultSize="0" print="0" autoFill="0" autoPict="0" macro="[0]!yahooRootSearch.yahooRootSearch">
                <anchor moveWithCells="1" siz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9" name="Button 6">
              <controlPr defaultSize="0" print="0" autoFill="0" autoPict="0" macro="[0]!selfCheckRD">
                <anchor moveWithCells="1" siz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8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10" name="Button 8">
              <controlPr defaultSize="0" print="0" autoFill="0" autoPict="0" macro="[0]!reviewRequestRD">
                <anchor moveWithCells="1" sizeWithCells="1">
                  <from>
                    <xdr:col>8</xdr:col>
                    <xdr:colOff>190500</xdr:colOff>
                    <xdr:row>37</xdr:row>
                    <xdr:rowOff>0</xdr:rowOff>
                  </from>
                  <to>
                    <xdr:col>15</xdr:col>
                    <xdr:colOff>190500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11" name="Button 10">
              <controlPr defaultSize="0" print="0" autoFill="0" autoPict="0" macro="[0]!commonUtil.setTargetFolder">
                <anchor moveWithCells="1" sizeWithCells="1">
                  <from>
                    <xdr:col>36</xdr:col>
                    <xdr:colOff>9525</xdr:colOff>
                    <xdr:row>29</xdr:row>
                    <xdr:rowOff>9525</xdr:rowOff>
                  </from>
                  <to>
                    <xdr:col>38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3" r:id="rId12" name="Button 11">
              <controlPr defaultSize="0" print="0" autoFill="0" autoPict="0" macro="[0]!selfCheckED">
                <anchor moveWithCells="1" siz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4" r:id="rId13" name="Button 12">
              <controlPr defaultSize="0" print="0" autoFill="0" autoPict="0" macro="[0]!reviewRequestED">
                <anchor moveWithCells="1" sizeWithCells="1">
                  <from>
                    <xdr:col>8</xdr:col>
                    <xdr:colOff>190500</xdr:colOff>
                    <xdr:row>42</xdr:row>
                    <xdr:rowOff>0</xdr:rowOff>
                  </from>
                  <to>
                    <xdr:col>15</xdr:col>
                    <xdr:colOff>190500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6" r:id="rId14" name="Button 14">
              <controlPr defaultSize="0" print="0" autoFill="0" autoPict="0" macro="[0]!showInvisibleNames">
                <anchor moveWithCells="1" sizeWithCells="1">
                  <from>
                    <xdr:col>0</xdr:col>
                    <xdr:colOff>0</xdr:colOff>
                    <xdr:row>52</xdr:row>
                    <xdr:rowOff>0</xdr:rowOff>
                  </from>
                  <to>
                    <xdr:col>10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7" r:id="rId15" name="Button 15">
              <controlPr defaultSize="0" print="0" autoFill="0" autoPict="0" macro="[0]!processFolder.dbLayout">
                <anchor moveWithCells="1" sizeWithCells="1">
                  <from>
                    <xdr:col>25</xdr:col>
                    <xdr:colOff>0</xdr:colOff>
                    <xdr:row>42</xdr:row>
                    <xdr:rowOff>0</xdr:rowOff>
                  </from>
                  <to>
                    <xdr:col>32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9" r:id="rId16" name="Button 17">
              <controlPr defaultSize="0" print="0" autoFill="0" autoPict="0" macro="[0]!setThisMonth">
                <anchor moveWithCells="1" sizeWithCells="1">
                  <from>
                    <xdr:col>4</xdr:col>
                    <xdr:colOff>9525</xdr:colOff>
                    <xdr:row>0</xdr:row>
                    <xdr:rowOff>0</xdr:rowOff>
                  </from>
                  <to>
                    <xdr:col>6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1" r:id="rId17" name="Button 19">
              <controlPr defaultSize="0" print="0" autoFill="0" autoPict="0" macro="[0]!setNextMonth">
                <anchor moveWithCells="1" sizeWithCells="1">
                  <from>
                    <xdr:col>6</xdr:col>
                    <xdr:colOff>19050</xdr:colOff>
                    <xdr:row>0</xdr:row>
                    <xdr:rowOff>0</xdr:rowOff>
                  </from>
                  <to>
                    <xdr:col>8</xdr:col>
                    <xdr:colOff>19050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2" r:id="rId18" name="Button 20">
              <controlPr defaultSize="0" print="0" autoFill="0" autoPict="0" macro="[0]!pageCountMain">
                <anchor moveWithCells="1" sizeWithCells="1">
                  <from>
                    <xdr:col>16</xdr:col>
                    <xdr:colOff>171450</xdr:colOff>
                    <xdr:row>41</xdr:row>
                    <xdr:rowOff>66675</xdr:rowOff>
                  </from>
                  <to>
                    <xdr:col>23</xdr:col>
                    <xdr:colOff>171450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3" r:id="rId19" name="Button 21">
              <controlPr defaultSize="0" print="0" autoFill="0" autoPict="0" macro="[0]!requirementDefinition">
                <anchor moveWithCells="1" sizeWithCells="1">
                  <from>
                    <xdr:col>0</xdr:col>
                    <xdr:colOff>0</xdr:colOff>
                    <xdr:row>47</xdr:row>
                    <xdr:rowOff>0</xdr:rowOff>
                  </from>
                  <to>
                    <xdr:col>8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41</vt:i4>
      </vt:variant>
    </vt:vector>
  </HeadingPairs>
  <TitlesOfParts>
    <vt:vector size="44" baseType="lpstr">
      <vt:lpstr>data</vt:lpstr>
      <vt:lpstr>base</vt:lpstr>
      <vt:lpstr>main</vt:lpstr>
      <vt:lpstr>data!_FilterDatabase</vt:lpstr>
      <vt:lpstr>base!Print_Titles</vt:lpstr>
      <vt:lpstr>base!SAC勤務時間</vt:lpstr>
      <vt:lpstr>main!チーム名</vt:lpstr>
      <vt:lpstr>main!チェック実施者</vt:lpstr>
      <vt:lpstr>main!チェック実施日</vt:lpstr>
      <vt:lpstr>base!ファイル出力リスト</vt:lpstr>
      <vt:lpstr>main!プロジェクト名</vt:lpstr>
      <vt:lpstr>base!案件</vt:lpstr>
      <vt:lpstr>案件リスト</vt:lpstr>
      <vt:lpstr>base!開始</vt:lpstr>
      <vt:lpstr>base!開始・終了時間リスト</vt:lpstr>
      <vt:lpstr>base!基点</vt:lpstr>
      <vt:lpstr>main!記入者</vt:lpstr>
      <vt:lpstr>休憩時間リスト</vt:lpstr>
      <vt:lpstr>main!業務機能名</vt:lpstr>
      <vt:lpstr>main!勤務時間</vt:lpstr>
      <vt:lpstr>main!勤務地</vt:lpstr>
      <vt:lpstr>main!経由</vt:lpstr>
      <vt:lpstr>base!月</vt:lpstr>
      <vt:lpstr>main!月</vt:lpstr>
      <vt:lpstr>base!現場勤務時間</vt:lpstr>
      <vt:lpstr>base!工数</vt:lpstr>
      <vt:lpstr>base!工数リスト</vt:lpstr>
      <vt:lpstr>base!作業場所</vt:lpstr>
      <vt:lpstr>作業場所リスト</vt:lpstr>
      <vt:lpstr>base!作業内容</vt:lpstr>
      <vt:lpstr>main!社員コード</vt:lpstr>
      <vt:lpstr>base!終了</vt:lpstr>
      <vt:lpstr>祝日リスト</vt:lpstr>
      <vt:lpstr>main!出発</vt:lpstr>
      <vt:lpstr>main!対象ファイル</vt:lpstr>
      <vt:lpstr>main!対象フォルダ</vt:lpstr>
      <vt:lpstr>main!到着</vt:lpstr>
      <vt:lpstr>base!日</vt:lpstr>
      <vt:lpstr>base!日数</vt:lpstr>
      <vt:lpstr>base!年</vt:lpstr>
      <vt:lpstr>main!年</vt:lpstr>
      <vt:lpstr>base!年月</vt:lpstr>
      <vt:lpstr>main!年月</vt:lpstr>
      <vt:lpstr>base!備考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遠藤智貴</dc:creator>
  <cp:lastModifiedBy>scsk-endo</cp:lastModifiedBy>
  <cp:lastPrinted>2018-09-05T01:53:47Z</cp:lastPrinted>
  <dcterms:created xsi:type="dcterms:W3CDTF">2014-10-01T07:49:44Z</dcterms:created>
  <dcterms:modified xsi:type="dcterms:W3CDTF">2018-10-01T05:50:22Z</dcterms:modified>
</cp:coreProperties>
</file>